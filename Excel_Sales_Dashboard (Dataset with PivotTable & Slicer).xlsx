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ada3e33db6a4df4/ASSIGNMENT Data Analysis- Digital Skill Centre/PROJECTS/"/>
    </mc:Choice>
  </mc:AlternateContent>
  <xr:revisionPtr revIDLastSave="31" documentId="8_{3873EBD9-BADA-4177-A0A3-D12A862F5FF8}" xr6:coauthVersionLast="47" xr6:coauthVersionMax="47" xr10:uidLastSave="{20FCBCD2-718F-4BEB-AD09-202F9E19A62E}"/>
  <bookViews>
    <workbookView xWindow="-120" yWindow="-120" windowWidth="20730" windowHeight="11040" tabRatio="500" firstSheet="1" activeTab="2" xr2:uid="{00000000-000D-0000-FFFF-FFFF00000000}"/>
  </bookViews>
  <sheets>
    <sheet name="README" sheetId="1" state="hidden" r:id="rId1"/>
    <sheet name="Customers" sheetId="5" r:id="rId2"/>
    <sheet name="Sales" sheetId="2" r:id="rId3"/>
    <sheet name="Detail1" sheetId="7" r:id="rId4"/>
    <sheet name="PVT 1" sheetId="6" r:id="rId5"/>
    <sheet name="PVT 2" sheetId="15" r:id="rId6"/>
    <sheet name="PVT 3" sheetId="16" r:id="rId7"/>
    <sheet name="PVT4" sheetId="8" r:id="rId8"/>
    <sheet name="PVT 5" sheetId="9" r:id="rId9"/>
    <sheet name="PVT 6" sheetId="17" r:id="rId10"/>
    <sheet name="6 PVTs For Dashboard" sheetId="19" r:id="rId11"/>
    <sheet name="Summary" sheetId="21" r:id="rId12"/>
    <sheet name="Dashboard" sheetId="20" r:id="rId13"/>
    <sheet name="Targets" sheetId="3" state="hidden" r:id="rId14"/>
    <sheet name="Answers" sheetId="4" state="hidden" r:id="rId15"/>
  </sheets>
  <calcPr calcId="191029" iterateDelta="1E-4"/>
  <pivotCaches>
    <pivotCache cacheId="0" r:id="rId16"/>
  </pivotCaches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L7" i="20"/>
  <c r="B9" i="21"/>
  <c r="B8" i="21"/>
  <c r="B6" i="21"/>
  <c r="Q6" i="20" s="1"/>
  <c r="B4" i="21"/>
  <c r="B7" i="20" s="1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L3" i="5"/>
  <c r="L2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R195" i="2"/>
  <c r="S195" i="2" s="1"/>
  <c r="R86" i="2"/>
  <c r="S86" i="2" s="1"/>
  <c r="R2" i="2"/>
  <c r="S2" i="2" s="1"/>
  <c r="R3" i="2"/>
  <c r="S3" i="2" s="1"/>
  <c r="R341" i="2"/>
  <c r="S341" i="2" s="1"/>
  <c r="R4" i="2"/>
  <c r="S4" i="2" s="1"/>
  <c r="R139" i="2"/>
  <c r="S139" i="2" s="1"/>
  <c r="R5" i="2"/>
  <c r="S5" i="2" s="1"/>
  <c r="R196" i="2"/>
  <c r="S196" i="2" s="1"/>
  <c r="R6" i="2"/>
  <c r="S6" i="2" s="1"/>
  <c r="R197" i="2"/>
  <c r="S197" i="2" s="1"/>
  <c r="R198" i="2"/>
  <c r="S198" i="2" s="1"/>
  <c r="R199" i="2"/>
  <c r="S199" i="2" s="1"/>
  <c r="R140" i="2"/>
  <c r="S140" i="2" s="1"/>
  <c r="R200" i="2"/>
  <c r="S200" i="2" s="1"/>
  <c r="R404" i="2"/>
  <c r="S404" i="2" s="1"/>
  <c r="R141" i="2"/>
  <c r="S141" i="2" s="1"/>
  <c r="R201" i="2"/>
  <c r="S201" i="2" s="1"/>
  <c r="R202" i="2"/>
  <c r="S202" i="2" s="1"/>
  <c r="R342" i="2"/>
  <c r="S342" i="2" s="1"/>
  <c r="R87" i="2"/>
  <c r="S87" i="2" s="1"/>
  <c r="R7" i="2"/>
  <c r="S7" i="2" s="1"/>
  <c r="R343" i="2"/>
  <c r="S343" i="2" s="1"/>
  <c r="R88" i="2"/>
  <c r="S88" i="2" s="1"/>
  <c r="R142" i="2"/>
  <c r="S142" i="2" s="1"/>
  <c r="R8" i="2"/>
  <c r="S8" i="2" s="1"/>
  <c r="R203" i="2"/>
  <c r="S203" i="2" s="1"/>
  <c r="R143" i="2"/>
  <c r="S143" i="2" s="1"/>
  <c r="R9" i="2"/>
  <c r="S9" i="2" s="1"/>
  <c r="R89" i="2"/>
  <c r="S89" i="2" s="1"/>
  <c r="R204" i="2"/>
  <c r="S204" i="2" s="1"/>
  <c r="R205" i="2"/>
  <c r="S205" i="2" s="1"/>
  <c r="R344" i="2"/>
  <c r="S344" i="2" s="1"/>
  <c r="R90" i="2"/>
  <c r="S90" i="2" s="1"/>
  <c r="R345" i="2"/>
  <c r="S345" i="2" s="1"/>
  <c r="R144" i="2"/>
  <c r="S144" i="2" s="1"/>
  <c r="R10" i="2"/>
  <c r="S10" i="2" s="1"/>
  <c r="R206" i="2"/>
  <c r="S206" i="2" s="1"/>
  <c r="R346" i="2"/>
  <c r="S346" i="2" s="1"/>
  <c r="R347" i="2"/>
  <c r="S347" i="2" s="1"/>
  <c r="R348" i="2"/>
  <c r="S348" i="2" s="1"/>
  <c r="R207" i="2"/>
  <c r="S207" i="2" s="1"/>
  <c r="R349" i="2"/>
  <c r="S349" i="2" s="1"/>
  <c r="R91" i="2"/>
  <c r="S91" i="2" s="1"/>
  <c r="R350" i="2"/>
  <c r="S350" i="2" s="1"/>
  <c r="R351" i="2"/>
  <c r="S351" i="2" s="1"/>
  <c r="R208" i="2"/>
  <c r="S208" i="2" s="1"/>
  <c r="R11" i="2"/>
  <c r="S11" i="2" s="1"/>
  <c r="R92" i="2"/>
  <c r="S92" i="2" s="1"/>
  <c r="R352" i="2"/>
  <c r="S352" i="2" s="1"/>
  <c r="R209" i="2"/>
  <c r="S209" i="2" s="1"/>
  <c r="R210" i="2"/>
  <c r="S210" i="2" s="1"/>
  <c r="R12" i="2"/>
  <c r="S12" i="2" s="1"/>
  <c r="R211" i="2"/>
  <c r="S211" i="2" s="1"/>
  <c r="R13" i="2"/>
  <c r="S13" i="2" s="1"/>
  <c r="R212" i="2"/>
  <c r="S212" i="2" s="1"/>
  <c r="R14" i="2"/>
  <c r="S14" i="2" s="1"/>
  <c r="R213" i="2"/>
  <c r="S213" i="2" s="1"/>
  <c r="R353" i="2"/>
  <c r="S353" i="2" s="1"/>
  <c r="R214" i="2"/>
  <c r="S214" i="2" s="1"/>
  <c r="R215" i="2"/>
  <c r="S215" i="2" s="1"/>
  <c r="R15" i="2"/>
  <c r="S15" i="2" s="1"/>
  <c r="R216" i="2"/>
  <c r="S216" i="2" s="1"/>
  <c r="R145" i="2"/>
  <c r="S145" i="2" s="1"/>
  <c r="R146" i="2"/>
  <c r="S146" i="2" s="1"/>
  <c r="R147" i="2"/>
  <c r="S147" i="2" s="1"/>
  <c r="R148" i="2"/>
  <c r="S148" i="2" s="1"/>
  <c r="R217" i="2"/>
  <c r="S217" i="2" s="1"/>
  <c r="R16" i="2"/>
  <c r="S16" i="2" s="1"/>
  <c r="R354" i="2"/>
  <c r="S354" i="2" s="1"/>
  <c r="R17" i="2"/>
  <c r="S17" i="2" s="1"/>
  <c r="R18" i="2"/>
  <c r="S18" i="2" s="1"/>
  <c r="R218" i="2"/>
  <c r="S218" i="2" s="1"/>
  <c r="R149" i="2"/>
  <c r="S149" i="2" s="1"/>
  <c r="R19" i="2"/>
  <c r="S19" i="2" s="1"/>
  <c r="R93" i="2"/>
  <c r="S93" i="2" s="1"/>
  <c r="R20" i="2"/>
  <c r="S20" i="2" s="1"/>
  <c r="R150" i="2"/>
  <c r="S150" i="2" s="1"/>
  <c r="R21" i="2"/>
  <c r="S21" i="2" s="1"/>
  <c r="R219" i="2"/>
  <c r="S219" i="2" s="1"/>
  <c r="R94" i="2"/>
  <c r="S94" i="2" s="1"/>
  <c r="R95" i="2"/>
  <c r="S95" i="2" s="1"/>
  <c r="R355" i="2"/>
  <c r="S355" i="2" s="1"/>
  <c r="R356" i="2"/>
  <c r="S356" i="2" s="1"/>
  <c r="R151" i="2"/>
  <c r="S151" i="2" s="1"/>
  <c r="R96" i="2"/>
  <c r="S96" i="2" s="1"/>
  <c r="R405" i="2"/>
  <c r="S405" i="2" s="1"/>
  <c r="R220" i="2"/>
  <c r="S220" i="2" s="1"/>
  <c r="R221" i="2"/>
  <c r="S221" i="2" s="1"/>
  <c r="R357" i="2"/>
  <c r="S357" i="2" s="1"/>
  <c r="R152" i="2"/>
  <c r="S152" i="2" s="1"/>
  <c r="R358" i="2"/>
  <c r="S358" i="2" s="1"/>
  <c r="R222" i="2"/>
  <c r="S222" i="2" s="1"/>
  <c r="R223" i="2"/>
  <c r="S223" i="2" s="1"/>
  <c r="R97" i="2"/>
  <c r="S97" i="2" s="1"/>
  <c r="R359" i="2"/>
  <c r="S359" i="2" s="1"/>
  <c r="R360" i="2"/>
  <c r="S360" i="2" s="1"/>
  <c r="R153" i="2"/>
  <c r="S153" i="2" s="1"/>
  <c r="R361" i="2"/>
  <c r="S361" i="2" s="1"/>
  <c r="R224" i="2"/>
  <c r="S224" i="2" s="1"/>
  <c r="R225" i="2"/>
  <c r="S225" i="2" s="1"/>
  <c r="R226" i="2"/>
  <c r="S226" i="2" s="1"/>
  <c r="R22" i="2"/>
  <c r="S22" i="2" s="1"/>
  <c r="R98" i="2"/>
  <c r="S98" i="2" s="1"/>
  <c r="R23" i="2"/>
  <c r="S23" i="2" s="1"/>
  <c r="R99" i="2"/>
  <c r="S99" i="2" s="1"/>
  <c r="R227" i="2"/>
  <c r="S227" i="2" s="1"/>
  <c r="R362" i="2"/>
  <c r="S362" i="2" s="1"/>
  <c r="R100" i="2"/>
  <c r="S100" i="2" s="1"/>
  <c r="R228" i="2"/>
  <c r="S228" i="2" s="1"/>
  <c r="R229" i="2"/>
  <c r="S229" i="2" s="1"/>
  <c r="R230" i="2"/>
  <c r="S230" i="2" s="1"/>
  <c r="R231" i="2"/>
  <c r="S231" i="2" s="1"/>
  <c r="R232" i="2"/>
  <c r="S232" i="2" s="1"/>
  <c r="R154" i="2"/>
  <c r="S154" i="2" s="1"/>
  <c r="R233" i="2"/>
  <c r="S233" i="2" s="1"/>
  <c r="R24" i="2"/>
  <c r="S24" i="2" s="1"/>
  <c r="R234" i="2"/>
  <c r="S234" i="2" s="1"/>
  <c r="R25" i="2"/>
  <c r="S25" i="2" s="1"/>
  <c r="R235" i="2"/>
  <c r="S235" i="2" s="1"/>
  <c r="R155" i="2"/>
  <c r="S155" i="2" s="1"/>
  <c r="R26" i="2"/>
  <c r="S26" i="2" s="1"/>
  <c r="R101" i="2"/>
  <c r="S101" i="2" s="1"/>
  <c r="R156" i="2"/>
  <c r="S156" i="2" s="1"/>
  <c r="R102" i="2"/>
  <c r="S102" i="2" s="1"/>
  <c r="R236" i="2"/>
  <c r="S236" i="2" s="1"/>
  <c r="R103" i="2"/>
  <c r="S103" i="2" s="1"/>
  <c r="R237" i="2"/>
  <c r="S237" i="2" s="1"/>
  <c r="R27" i="2"/>
  <c r="S27" i="2" s="1"/>
  <c r="R238" i="2"/>
  <c r="S238" i="2" s="1"/>
  <c r="R104" i="2"/>
  <c r="S104" i="2" s="1"/>
  <c r="R239" i="2"/>
  <c r="S239" i="2" s="1"/>
  <c r="R28" i="2"/>
  <c r="S28" i="2" s="1"/>
  <c r="R240" i="2"/>
  <c r="S240" i="2" s="1"/>
  <c r="R241" i="2"/>
  <c r="S241" i="2" s="1"/>
  <c r="R29" i="2"/>
  <c r="S29" i="2" s="1"/>
  <c r="R30" i="2"/>
  <c r="S30" i="2" s="1"/>
  <c r="R363" i="2"/>
  <c r="S363" i="2" s="1"/>
  <c r="R157" i="2"/>
  <c r="S157" i="2" s="1"/>
  <c r="R242" i="2"/>
  <c r="S242" i="2" s="1"/>
  <c r="R364" i="2"/>
  <c r="S364" i="2" s="1"/>
  <c r="R243" i="2"/>
  <c r="S243" i="2" s="1"/>
  <c r="R31" i="2"/>
  <c r="S31" i="2" s="1"/>
  <c r="R244" i="2"/>
  <c r="S244" i="2" s="1"/>
  <c r="R32" i="2"/>
  <c r="S32" i="2" s="1"/>
  <c r="R105" i="2"/>
  <c r="S105" i="2" s="1"/>
  <c r="R245" i="2"/>
  <c r="S245" i="2" s="1"/>
  <c r="R33" i="2"/>
  <c r="S33" i="2" s="1"/>
  <c r="R246" i="2"/>
  <c r="S246" i="2" s="1"/>
  <c r="R365" i="2"/>
  <c r="S365" i="2" s="1"/>
  <c r="R247" i="2"/>
  <c r="S247" i="2" s="1"/>
  <c r="R34" i="2"/>
  <c r="S34" i="2" s="1"/>
  <c r="R366" i="2"/>
  <c r="S366" i="2" s="1"/>
  <c r="R248" i="2"/>
  <c r="S248" i="2" s="1"/>
  <c r="R106" i="2"/>
  <c r="S106" i="2" s="1"/>
  <c r="R107" i="2"/>
  <c r="S107" i="2" s="1"/>
  <c r="R249" i="2"/>
  <c r="S249" i="2" s="1"/>
  <c r="R250" i="2"/>
  <c r="S250" i="2" s="1"/>
  <c r="R35" i="2"/>
  <c r="S35" i="2" s="1"/>
  <c r="R108" i="2"/>
  <c r="S108" i="2" s="1"/>
  <c r="R251" i="2"/>
  <c r="S251" i="2" s="1"/>
  <c r="R158" i="2"/>
  <c r="S158" i="2" s="1"/>
  <c r="R36" i="2"/>
  <c r="S36" i="2" s="1"/>
  <c r="R37" i="2"/>
  <c r="S37" i="2" s="1"/>
  <c r="R252" i="2"/>
  <c r="S252" i="2" s="1"/>
  <c r="R367" i="2"/>
  <c r="S367" i="2" s="1"/>
  <c r="R159" i="2"/>
  <c r="S159" i="2" s="1"/>
  <c r="R253" i="2"/>
  <c r="S253" i="2" s="1"/>
  <c r="R368" i="2"/>
  <c r="S368" i="2" s="1"/>
  <c r="R38" i="2"/>
  <c r="S38" i="2" s="1"/>
  <c r="R39" i="2"/>
  <c r="S39" i="2" s="1"/>
  <c r="R369" i="2"/>
  <c r="S369" i="2" s="1"/>
  <c r="R40" i="2"/>
  <c r="S40" i="2" s="1"/>
  <c r="R254" i="2"/>
  <c r="S254" i="2" s="1"/>
  <c r="R109" i="2"/>
  <c r="S109" i="2" s="1"/>
  <c r="R110" i="2"/>
  <c r="S110" i="2" s="1"/>
  <c r="R41" i="2"/>
  <c r="S41" i="2" s="1"/>
  <c r="R255" i="2"/>
  <c r="S255" i="2" s="1"/>
  <c r="R256" i="2"/>
  <c r="S256" i="2" s="1"/>
  <c r="R111" i="2"/>
  <c r="S111" i="2" s="1"/>
  <c r="R257" i="2"/>
  <c r="S257" i="2" s="1"/>
  <c r="R258" i="2"/>
  <c r="S258" i="2" s="1"/>
  <c r="R42" i="2"/>
  <c r="S42" i="2" s="1"/>
  <c r="R160" i="2"/>
  <c r="S160" i="2" s="1"/>
  <c r="R259" i="2"/>
  <c r="S259" i="2" s="1"/>
  <c r="R260" i="2"/>
  <c r="S260" i="2" s="1"/>
  <c r="R43" i="2"/>
  <c r="S43" i="2" s="1"/>
  <c r="R261" i="2"/>
  <c r="S261" i="2" s="1"/>
  <c r="R44" i="2"/>
  <c r="S44" i="2" s="1"/>
  <c r="R45" i="2"/>
  <c r="S45" i="2" s="1"/>
  <c r="R370" i="2"/>
  <c r="S370" i="2" s="1"/>
  <c r="R262" i="2"/>
  <c r="S262" i="2" s="1"/>
  <c r="R46" i="2"/>
  <c r="S46" i="2" s="1"/>
  <c r="R112" i="2"/>
  <c r="S112" i="2" s="1"/>
  <c r="R371" i="2"/>
  <c r="S371" i="2" s="1"/>
  <c r="R263" i="2"/>
  <c r="S263" i="2" s="1"/>
  <c r="R113" i="2"/>
  <c r="S113" i="2" s="1"/>
  <c r="R264" i="2"/>
  <c r="S264" i="2" s="1"/>
  <c r="R161" i="2"/>
  <c r="S161" i="2" s="1"/>
  <c r="R114" i="2"/>
  <c r="S114" i="2" s="1"/>
  <c r="R265" i="2"/>
  <c r="S265" i="2" s="1"/>
  <c r="R406" i="2"/>
  <c r="S406" i="2" s="1"/>
  <c r="R266" i="2"/>
  <c r="S266" i="2" s="1"/>
  <c r="R162" i="2"/>
  <c r="S162" i="2" s="1"/>
  <c r="R115" i="2"/>
  <c r="S115" i="2" s="1"/>
  <c r="R116" i="2"/>
  <c r="S116" i="2" s="1"/>
  <c r="R267" i="2"/>
  <c r="S267" i="2" s="1"/>
  <c r="R117" i="2"/>
  <c r="S117" i="2" s="1"/>
  <c r="R47" i="2"/>
  <c r="S47" i="2" s="1"/>
  <c r="R268" i="2"/>
  <c r="S268" i="2" s="1"/>
  <c r="R48" i="2"/>
  <c r="S48" i="2" s="1"/>
  <c r="R118" i="2"/>
  <c r="S118" i="2" s="1"/>
  <c r="R269" i="2"/>
  <c r="S269" i="2" s="1"/>
  <c r="R119" i="2"/>
  <c r="S119" i="2" s="1"/>
  <c r="R372" i="2"/>
  <c r="S372" i="2" s="1"/>
  <c r="R49" i="2"/>
  <c r="S49" i="2" s="1"/>
  <c r="R373" i="2"/>
  <c r="S373" i="2" s="1"/>
  <c r="R120" i="2"/>
  <c r="S120" i="2" s="1"/>
  <c r="R50" i="2"/>
  <c r="S50" i="2" s="1"/>
  <c r="R51" i="2"/>
  <c r="S51" i="2" s="1"/>
  <c r="R270" i="2"/>
  <c r="S270" i="2" s="1"/>
  <c r="R374" i="2"/>
  <c r="S374" i="2" s="1"/>
  <c r="R163" i="2"/>
  <c r="S163" i="2" s="1"/>
  <c r="R164" i="2"/>
  <c r="S164" i="2" s="1"/>
  <c r="R271" i="2"/>
  <c r="S271" i="2" s="1"/>
  <c r="R375" i="2"/>
  <c r="S375" i="2" s="1"/>
  <c r="R165" i="2"/>
  <c r="S165" i="2" s="1"/>
  <c r="R121" i="2"/>
  <c r="S121" i="2" s="1"/>
  <c r="R272" i="2"/>
  <c r="S272" i="2" s="1"/>
  <c r="R376" i="2"/>
  <c r="S376" i="2" s="1"/>
  <c r="R52" i="2"/>
  <c r="S52" i="2" s="1"/>
  <c r="R273" i="2"/>
  <c r="S273" i="2" s="1"/>
  <c r="R53" i="2"/>
  <c r="S53" i="2" s="1"/>
  <c r="R166" i="2"/>
  <c r="S166" i="2" s="1"/>
  <c r="R54" i="2"/>
  <c r="S54" i="2" s="1"/>
  <c r="R377" i="2"/>
  <c r="S377" i="2" s="1"/>
  <c r="R55" i="2"/>
  <c r="S55" i="2" s="1"/>
  <c r="R274" i="2"/>
  <c r="S274" i="2" s="1"/>
  <c r="R275" i="2"/>
  <c r="S275" i="2" s="1"/>
  <c r="R56" i="2"/>
  <c r="S56" i="2" s="1"/>
  <c r="R57" i="2"/>
  <c r="S57" i="2" s="1"/>
  <c r="R378" i="2"/>
  <c r="S378" i="2" s="1"/>
  <c r="R122" i="2"/>
  <c r="S122" i="2" s="1"/>
  <c r="R58" i="2"/>
  <c r="S58" i="2" s="1"/>
  <c r="R59" i="2"/>
  <c r="S59" i="2" s="1"/>
  <c r="R276" i="2"/>
  <c r="S276" i="2" s="1"/>
  <c r="R167" i="2"/>
  <c r="S167" i="2" s="1"/>
  <c r="R60" i="2"/>
  <c r="S60" i="2" s="1"/>
  <c r="R168" i="2"/>
  <c r="S168" i="2" s="1"/>
  <c r="R379" i="2"/>
  <c r="S379" i="2" s="1"/>
  <c r="R169" i="2"/>
  <c r="S169" i="2" s="1"/>
  <c r="R380" i="2"/>
  <c r="S380" i="2" s="1"/>
  <c r="R381" i="2"/>
  <c r="S381" i="2" s="1"/>
  <c r="R382" i="2"/>
  <c r="S382" i="2" s="1"/>
  <c r="R277" i="2"/>
  <c r="S277" i="2" s="1"/>
  <c r="R278" i="2"/>
  <c r="S278" i="2" s="1"/>
  <c r="R61" i="2"/>
  <c r="S61" i="2" s="1"/>
  <c r="R279" i="2"/>
  <c r="S279" i="2" s="1"/>
  <c r="R62" i="2"/>
  <c r="S62" i="2" s="1"/>
  <c r="R383" i="2"/>
  <c r="S383" i="2" s="1"/>
  <c r="R63" i="2"/>
  <c r="S63" i="2" s="1"/>
  <c r="R280" i="2"/>
  <c r="S280" i="2" s="1"/>
  <c r="R281" i="2"/>
  <c r="S281" i="2" s="1"/>
  <c r="R282" i="2"/>
  <c r="S282" i="2" s="1"/>
  <c r="R64" i="2"/>
  <c r="S64" i="2" s="1"/>
  <c r="R65" i="2"/>
  <c r="S65" i="2" s="1"/>
  <c r="R66" i="2"/>
  <c r="S66" i="2" s="1"/>
  <c r="R67" i="2"/>
  <c r="S67" i="2" s="1"/>
  <c r="R384" i="2"/>
  <c r="S384" i="2" s="1"/>
  <c r="R170" i="2"/>
  <c r="S170" i="2" s="1"/>
  <c r="R283" i="2"/>
  <c r="S283" i="2" s="1"/>
  <c r="R385" i="2"/>
  <c r="S385" i="2" s="1"/>
  <c r="R284" i="2"/>
  <c r="S284" i="2" s="1"/>
  <c r="R386" i="2"/>
  <c r="S386" i="2" s="1"/>
  <c r="R123" i="2"/>
  <c r="S123" i="2" s="1"/>
  <c r="R285" i="2"/>
  <c r="S285" i="2" s="1"/>
  <c r="R171" i="2"/>
  <c r="S171" i="2" s="1"/>
  <c r="R124" i="2"/>
  <c r="S124" i="2" s="1"/>
  <c r="R286" i="2"/>
  <c r="S286" i="2" s="1"/>
  <c r="R172" i="2"/>
  <c r="S172" i="2" s="1"/>
  <c r="R287" i="2"/>
  <c r="S287" i="2" s="1"/>
  <c r="R173" i="2"/>
  <c r="S173" i="2" s="1"/>
  <c r="R288" i="2"/>
  <c r="S288" i="2" s="1"/>
  <c r="R289" i="2"/>
  <c r="S289" i="2" s="1"/>
  <c r="R290" i="2"/>
  <c r="S290" i="2" s="1"/>
  <c r="R125" i="2"/>
  <c r="S125" i="2" s="1"/>
  <c r="R68" i="2"/>
  <c r="S68" i="2" s="1"/>
  <c r="R69" i="2"/>
  <c r="S69" i="2" s="1"/>
  <c r="R174" i="2"/>
  <c r="S174" i="2" s="1"/>
  <c r="R387" i="2"/>
  <c r="S387" i="2" s="1"/>
  <c r="R126" i="2"/>
  <c r="S126" i="2" s="1"/>
  <c r="R291" i="2"/>
  <c r="S291" i="2" s="1"/>
  <c r="R127" i="2"/>
  <c r="S127" i="2" s="1"/>
  <c r="R70" i="2"/>
  <c r="S70" i="2" s="1"/>
  <c r="R128" i="2"/>
  <c r="S128" i="2" s="1"/>
  <c r="R175" i="2"/>
  <c r="S175" i="2" s="1"/>
  <c r="R292" i="2"/>
  <c r="S292" i="2" s="1"/>
  <c r="R388" i="2"/>
  <c r="S388" i="2" s="1"/>
  <c r="R389" i="2"/>
  <c r="S389" i="2" s="1"/>
  <c r="R390" i="2"/>
  <c r="S390" i="2" s="1"/>
  <c r="R293" i="2"/>
  <c r="S293" i="2" s="1"/>
  <c r="R294" i="2"/>
  <c r="S294" i="2" s="1"/>
  <c r="R71" i="2"/>
  <c r="S71" i="2" s="1"/>
  <c r="R176" i="2"/>
  <c r="S176" i="2" s="1"/>
  <c r="R177" i="2"/>
  <c r="S177" i="2" s="1"/>
  <c r="R72" i="2"/>
  <c r="S72" i="2" s="1"/>
  <c r="R178" i="2"/>
  <c r="S178" i="2" s="1"/>
  <c r="R73" i="2"/>
  <c r="S73" i="2" s="1"/>
  <c r="R295" i="2"/>
  <c r="S295" i="2" s="1"/>
  <c r="R74" i="2"/>
  <c r="S74" i="2" s="1"/>
  <c r="R296" i="2"/>
  <c r="S296" i="2" s="1"/>
  <c r="R391" i="2"/>
  <c r="S391" i="2" s="1"/>
  <c r="R297" i="2"/>
  <c r="S297" i="2" s="1"/>
  <c r="R75" i="2"/>
  <c r="S75" i="2" s="1"/>
  <c r="R179" i="2"/>
  <c r="S179" i="2" s="1"/>
  <c r="R298" i="2"/>
  <c r="S298" i="2" s="1"/>
  <c r="R129" i="2"/>
  <c r="S129" i="2" s="1"/>
  <c r="R392" i="2"/>
  <c r="S392" i="2" s="1"/>
  <c r="R299" i="2"/>
  <c r="S299" i="2" s="1"/>
  <c r="R130" i="2"/>
  <c r="S130" i="2" s="1"/>
  <c r="R300" i="2"/>
  <c r="S300" i="2" s="1"/>
  <c r="R301" i="2"/>
  <c r="S301" i="2" s="1"/>
  <c r="R76" i="2"/>
  <c r="S76" i="2" s="1"/>
  <c r="R393" i="2"/>
  <c r="S393" i="2" s="1"/>
  <c r="R394" i="2"/>
  <c r="S394" i="2" s="1"/>
  <c r="R302" i="2"/>
  <c r="S302" i="2" s="1"/>
  <c r="R180" i="2"/>
  <c r="S180" i="2" s="1"/>
  <c r="R395" i="2"/>
  <c r="S395" i="2" s="1"/>
  <c r="R303" i="2"/>
  <c r="S303" i="2" s="1"/>
  <c r="R77" i="2"/>
  <c r="S77" i="2" s="1"/>
  <c r="R78" i="2"/>
  <c r="S78" i="2" s="1"/>
  <c r="R181" i="2"/>
  <c r="S181" i="2" s="1"/>
  <c r="R79" i="2"/>
  <c r="S79" i="2" s="1"/>
  <c r="R304" i="2"/>
  <c r="S304" i="2" s="1"/>
  <c r="R182" i="2"/>
  <c r="S182" i="2" s="1"/>
  <c r="R80" i="2"/>
  <c r="S80" i="2" s="1"/>
  <c r="R305" i="2"/>
  <c r="S305" i="2" s="1"/>
  <c r="R306" i="2"/>
  <c r="S306" i="2" s="1"/>
  <c r="R307" i="2"/>
  <c r="S307" i="2" s="1"/>
  <c r="R131" i="2"/>
  <c r="S131" i="2" s="1"/>
  <c r="R132" i="2"/>
  <c r="S132" i="2" s="1"/>
  <c r="R183" i="2"/>
  <c r="S183" i="2" s="1"/>
  <c r="R407" i="2"/>
  <c r="S407" i="2" s="1"/>
  <c r="R184" i="2"/>
  <c r="S184" i="2" s="1"/>
  <c r="R396" i="2"/>
  <c r="S396" i="2" s="1"/>
  <c r="R397" i="2"/>
  <c r="S397" i="2" s="1"/>
  <c r="R185" i="2"/>
  <c r="S185" i="2" s="1"/>
  <c r="R308" i="2"/>
  <c r="S308" i="2" s="1"/>
  <c r="R81" i="2"/>
  <c r="S81" i="2" s="1"/>
  <c r="R309" i="2"/>
  <c r="S309" i="2" s="1"/>
  <c r="R310" i="2"/>
  <c r="S310" i="2" s="1"/>
  <c r="R311" i="2"/>
  <c r="S311" i="2" s="1"/>
  <c r="R186" i="2"/>
  <c r="S186" i="2" s="1"/>
  <c r="R312" i="2"/>
  <c r="S312" i="2" s="1"/>
  <c r="R313" i="2"/>
  <c r="S313" i="2" s="1"/>
  <c r="R314" i="2"/>
  <c r="S314" i="2" s="1"/>
  <c r="R133" i="2"/>
  <c r="S133" i="2" s="1"/>
  <c r="R315" i="2"/>
  <c r="S315" i="2" s="1"/>
  <c r="R316" i="2"/>
  <c r="S316" i="2" s="1"/>
  <c r="R398" i="2"/>
  <c r="S398" i="2" s="1"/>
  <c r="R82" i="2"/>
  <c r="S82" i="2" s="1"/>
  <c r="R83" i="2"/>
  <c r="S83" i="2" s="1"/>
  <c r="R134" i="2"/>
  <c r="S134" i="2" s="1"/>
  <c r="R317" i="2"/>
  <c r="S317" i="2" s="1"/>
  <c r="R318" i="2"/>
  <c r="S318" i="2" s="1"/>
  <c r="R319" i="2"/>
  <c r="S319" i="2" s="1"/>
  <c r="R320" i="2"/>
  <c r="S320" i="2" s="1"/>
  <c r="R187" i="2"/>
  <c r="S187" i="2" s="1"/>
  <c r="R188" i="2"/>
  <c r="S188" i="2" s="1"/>
  <c r="R321" i="2"/>
  <c r="S321" i="2" s="1"/>
  <c r="R322" i="2"/>
  <c r="S322" i="2" s="1"/>
  <c r="R84" i="2"/>
  <c r="S84" i="2" s="1"/>
  <c r="R135" i="2"/>
  <c r="S135" i="2" s="1"/>
  <c r="R189" i="2"/>
  <c r="S189" i="2" s="1"/>
  <c r="R323" i="2"/>
  <c r="S323" i="2" s="1"/>
  <c r="R399" i="2"/>
  <c r="S399" i="2" s="1"/>
  <c r="R324" i="2"/>
  <c r="S324" i="2" s="1"/>
  <c r="R190" i="2"/>
  <c r="S190" i="2" s="1"/>
  <c r="R325" i="2"/>
  <c r="S325" i="2" s="1"/>
  <c r="R326" i="2"/>
  <c r="S326" i="2" s="1"/>
  <c r="R191" i="2"/>
  <c r="S191" i="2" s="1"/>
  <c r="R327" i="2"/>
  <c r="S327" i="2" s="1"/>
  <c r="R328" i="2"/>
  <c r="S328" i="2" s="1"/>
  <c r="R329" i="2"/>
  <c r="S329" i="2" s="1"/>
  <c r="R330" i="2"/>
  <c r="S330" i="2" s="1"/>
  <c r="R331" i="2"/>
  <c r="S331" i="2" s="1"/>
  <c r="R400" i="2"/>
  <c r="S400" i="2" s="1"/>
  <c r="R401" i="2"/>
  <c r="S401" i="2" s="1"/>
  <c r="R402" i="2"/>
  <c r="S402" i="2" s="1"/>
  <c r="R192" i="2"/>
  <c r="S192" i="2" s="1"/>
  <c r="R193" i="2"/>
  <c r="S193" i="2" s="1"/>
  <c r="R332" i="2"/>
  <c r="S332" i="2" s="1"/>
  <c r="R333" i="2"/>
  <c r="S333" i="2" s="1"/>
  <c r="R334" i="2"/>
  <c r="S334" i="2" s="1"/>
  <c r="R335" i="2"/>
  <c r="S335" i="2" s="1"/>
  <c r="R85" i="2"/>
  <c r="S85" i="2" s="1"/>
  <c r="R336" i="2"/>
  <c r="S336" i="2" s="1"/>
  <c r="R337" i="2"/>
  <c r="S337" i="2" s="1"/>
  <c r="R194" i="2"/>
  <c r="S194" i="2" s="1"/>
  <c r="R403" i="2"/>
  <c r="S403" i="2" s="1"/>
  <c r="R338" i="2"/>
  <c r="S338" i="2" s="1"/>
  <c r="R136" i="2"/>
  <c r="S136" i="2" s="1"/>
  <c r="R339" i="2"/>
  <c r="S339" i="2" s="1"/>
  <c r="R340" i="2"/>
  <c r="S340" i="2" s="1"/>
  <c r="R137" i="2"/>
  <c r="S137" i="2" s="1"/>
  <c r="R138" i="2"/>
  <c r="S138" i="2" s="1"/>
  <c r="B2" i="21" l="1"/>
  <c r="G6" i="20" s="1"/>
  <c r="B5" i="21"/>
  <c r="L6" i="20" s="1"/>
  <c r="B1" i="21"/>
  <c r="B7" i="21"/>
  <c r="Q7" i="20" s="1"/>
  <c r="B10" i="21"/>
  <c r="B11" i="21" s="1"/>
  <c r="B3" i="21" l="1"/>
  <c r="G7" i="20" s="1"/>
  <c r="B6" i="20"/>
</calcChain>
</file>

<file path=xl/sharedStrings.xml><?xml version="1.0" encoding="utf-8"?>
<sst xmlns="http://schemas.openxmlformats.org/spreadsheetml/2006/main" count="6332" uniqueCount="1204">
  <si>
    <t>Digital Skills Centre — Data Analytics Programme</t>
  </si>
  <si>
    <t>Week 2 — Sales Dataset</t>
  </si>
  <si>
    <t>One row per order. 2025 full year. This dataset is used for all four days of Week 2.</t>
  </si>
  <si>
    <t>Sheets</t>
  </si>
  <si>
    <t>Sales        — the order data. Convert it to a Table and name it Sales.</t>
  </si>
  <si>
    <t>Targets      — the monthly revenue target for each region. You will need this for IF.</t>
  </si>
  <si>
    <t>Answers      — build your formulas here, not on the data sheet.</t>
  </si>
  <si>
    <t>Fields</t>
  </si>
  <si>
    <t>order_id · order_date · region · sales_rep · channel · product · category</t>
  </si>
  <si>
    <t>quantity · unit_price_ngn · unit_cost_ngn · discount_pct · delivery_days</t>
  </si>
  <si>
    <t>Two things to work out for yourself before you start</t>
  </si>
  <si>
    <t>1.  There is no revenue column. Revenue = quantity × unit_price × (1 − discount_pct).</t>
  </si>
  <si>
    <t>2.  There is no month column. You will build one from order_date.</t>
  </si>
  <si>
    <t>Rule for today</t>
  </si>
  <si>
    <t>Do not type any number into a formula. If a value could ever change, it goes in a cell.</t>
  </si>
  <si>
    <t>Data as at: 6 January 2026 — full-year 2025 extract from the POS system.</t>
  </si>
  <si>
    <t>Updated: a customer_id column has been added to the Sales sheet.</t>
  </si>
  <si>
    <t>You will join it to the customer master on Wednesday.</t>
  </si>
  <si>
    <t>order_id</t>
  </si>
  <si>
    <t>order_date</t>
  </si>
  <si>
    <t>region</t>
  </si>
  <si>
    <t>sales_rep</t>
  </si>
  <si>
    <t>channel</t>
  </si>
  <si>
    <t>product</t>
  </si>
  <si>
    <t>category</t>
  </si>
  <si>
    <t>quantity</t>
  </si>
  <si>
    <t>unit_price_ngn</t>
  </si>
  <si>
    <t>unit_cost_ngn</t>
  </si>
  <si>
    <t>discount_pct</t>
  </si>
  <si>
    <t>delivery_days</t>
  </si>
  <si>
    <t>customer_id</t>
  </si>
  <si>
    <t>ORD-7365</t>
  </si>
  <si>
    <t>Lagos</t>
  </si>
  <si>
    <t>Tunde Bello</t>
  </si>
  <si>
    <t>Walk-in</t>
  </si>
  <si>
    <t>Wireless Earbuds</t>
  </si>
  <si>
    <t>Electronics</t>
  </si>
  <si>
    <t>CUS-2013</t>
  </si>
  <si>
    <t>ORD-7103</t>
  </si>
  <si>
    <t>Ibadan</t>
  </si>
  <si>
    <t>Segun Adeyemi</t>
  </si>
  <si>
    <t>CUS-2072</t>
  </si>
  <si>
    <t>ORD-7122</t>
  </si>
  <si>
    <t>Abuja</t>
  </si>
  <si>
    <t>Ngozi Eze</t>
  </si>
  <si>
    <t>Web</t>
  </si>
  <si>
    <t>Palm Oil 5L</t>
  </si>
  <si>
    <t>Groceries</t>
  </si>
  <si>
    <t>CUS-2102</t>
  </si>
  <si>
    <t>ORD-7166</t>
  </si>
  <si>
    <t>Ankle Boots</t>
  </si>
  <si>
    <t>Fashion</t>
  </si>
  <si>
    <t>CUS-2032</t>
  </si>
  <si>
    <t>ORD-7395</t>
  </si>
  <si>
    <t>Port Harcourt</t>
  </si>
  <si>
    <t>Chidi Okafor</t>
  </si>
  <si>
    <t>Phone</t>
  </si>
  <si>
    <t>Sneakers</t>
  </si>
  <si>
    <t>CUS-2038</t>
  </si>
  <si>
    <t>ORD-7121</t>
  </si>
  <si>
    <t>Ankara Fabric 6yd</t>
  </si>
  <si>
    <t>Textiles</t>
  </si>
  <si>
    <t>ORD-7203</t>
  </si>
  <si>
    <t>Kano</t>
  </si>
  <si>
    <t>Fatima Yusuf</t>
  </si>
  <si>
    <t>Bedsheet Set</t>
  </si>
  <si>
    <t>Home</t>
  </si>
  <si>
    <t>CUS-2120</t>
  </si>
  <si>
    <t>ORD-7248</t>
  </si>
  <si>
    <t>Blender 1.5L</t>
  </si>
  <si>
    <t>CUS-2044</t>
  </si>
  <si>
    <t>ORD-7162</t>
  </si>
  <si>
    <t>Rice 25kg</t>
  </si>
  <si>
    <t>CUS-2111</t>
  </si>
  <si>
    <t>ORD-7115</t>
  </si>
  <si>
    <t>Mobile App</t>
  </si>
  <si>
    <t>CUS-2026</t>
  </si>
  <si>
    <t>ORD-7143</t>
  </si>
  <si>
    <t>LED Ring Light</t>
  </si>
  <si>
    <t>CUS-2077</t>
  </si>
  <si>
    <t>ORD-7268</t>
  </si>
  <si>
    <t>CUS-2060</t>
  </si>
  <si>
    <t>ORD-7288</t>
  </si>
  <si>
    <t>Amaka Obi</t>
  </si>
  <si>
    <t>CUS-2083</t>
  </si>
  <si>
    <t>ORD-7419</t>
  </si>
  <si>
    <t>CUS-2024</t>
  </si>
  <si>
    <t>ORD-7013</t>
  </si>
  <si>
    <t>Body Lotion 400ml</t>
  </si>
  <si>
    <t>Beauty</t>
  </si>
  <si>
    <t>CUS-2030</t>
  </si>
  <si>
    <t>ORD-7076</t>
  </si>
  <si>
    <t>CUS-9017</t>
  </si>
  <si>
    <t>ORD-7225</t>
  </si>
  <si>
    <t>CUS-2023</t>
  </si>
  <si>
    <t>ORD-7284</t>
  </si>
  <si>
    <t>ORD-7350</t>
  </si>
  <si>
    <t>CUS-2027</t>
  </si>
  <si>
    <t>ORD-7174</t>
  </si>
  <si>
    <t>CUS-2068</t>
  </si>
  <si>
    <t>ORD-7079</t>
  </si>
  <si>
    <t>Lace Material 5yd</t>
  </si>
  <si>
    <t>CUS-2075</t>
  </si>
  <si>
    <t>ORD-7164</t>
  </si>
  <si>
    <t>CUS-2109</t>
  </si>
  <si>
    <t>ORD-7109</t>
  </si>
  <si>
    <t>ORD-7065</t>
  </si>
  <si>
    <t>CUS-2095</t>
  </si>
  <si>
    <t>ORD-7323</t>
  </si>
  <si>
    <t>CUS-2025</t>
  </si>
  <si>
    <t>ORD-7398</t>
  </si>
  <si>
    <t>CUS-2116</t>
  </si>
  <si>
    <t>ORD-7025</t>
  </si>
  <si>
    <t>CUS-2071</t>
  </si>
  <si>
    <t>ORD-7326</t>
  </si>
  <si>
    <t>CUS-2093</t>
  </si>
  <si>
    <t>ORD-7215</t>
  </si>
  <si>
    <t>ORD-7247</t>
  </si>
  <si>
    <t>CUS-2112</t>
  </si>
  <si>
    <t>ORD-7375</t>
  </si>
  <si>
    <t>ORD-7213</t>
  </si>
  <si>
    <t>CUS-2108</t>
  </si>
  <si>
    <t>ORD-7382</t>
  </si>
  <si>
    <t>CUS-2079</t>
  </si>
  <si>
    <t>ORD-7006</t>
  </si>
  <si>
    <t>CUS-2051</t>
  </si>
  <si>
    <t>ORD-7287</t>
  </si>
  <si>
    <t>CUS-2065</t>
  </si>
  <si>
    <t>ORD-7067</t>
  </si>
  <si>
    <t>ORD-7345</t>
  </si>
  <si>
    <t>ORD-7177</t>
  </si>
  <si>
    <t>CUS-2047</t>
  </si>
  <si>
    <t>ORD-7009</t>
  </si>
  <si>
    <t>CUS-2020</t>
  </si>
  <si>
    <t>ORD-7018</t>
  </si>
  <si>
    <t>CUS-2104</t>
  </si>
  <si>
    <t>ORD-7180</t>
  </si>
  <si>
    <t>ORD-7197</t>
  </si>
  <si>
    <t>CUS-2053</t>
  </si>
  <si>
    <t>ORD-7232</t>
  </si>
  <si>
    <t>CUS-2035</t>
  </si>
  <si>
    <t>ORD-7411</t>
  </si>
  <si>
    <t>ORD-7282</t>
  </si>
  <si>
    <t>CUS-2067</t>
  </si>
  <si>
    <t>ORD-7184</t>
  </si>
  <si>
    <t>CUS-2021</t>
  </si>
  <si>
    <t>ORD-7290</t>
  </si>
  <si>
    <t>CUS-2081</t>
  </si>
  <si>
    <t>ORD-7410</t>
  </si>
  <si>
    <t>CUS-2114</t>
  </si>
  <si>
    <t>ORD-7099</t>
  </si>
  <si>
    <t>ORD-7227</t>
  </si>
  <si>
    <t>CUS-2006</t>
  </si>
  <si>
    <t>ORD-7329</t>
  </si>
  <si>
    <t>ORD-7169</t>
  </si>
  <si>
    <t>CUS-2103</t>
  </si>
  <si>
    <t>ORD-7048</t>
  </si>
  <si>
    <t>CUS-2070</t>
  </si>
  <si>
    <t>ORD-7053</t>
  </si>
  <si>
    <t>CUS-2084</t>
  </si>
  <si>
    <t>ORD-7409</t>
  </si>
  <si>
    <t>CUS-2090</t>
  </si>
  <si>
    <t>ORD-7071</t>
  </si>
  <si>
    <t>CUS-2031</t>
  </si>
  <si>
    <t>ORD-7256</t>
  </si>
  <si>
    <t>ORD-7273</t>
  </si>
  <si>
    <t>CUS-2033</t>
  </si>
  <si>
    <t>ORD-7383</t>
  </si>
  <si>
    <t>ORD-7391</t>
  </si>
  <si>
    <t>CUS-2089</t>
  </si>
  <si>
    <t>ORD-7119</t>
  </si>
  <si>
    <t>ORD-7085</t>
  </si>
  <si>
    <t>CUS-2107</t>
  </si>
  <si>
    <t>ORD-7241</t>
  </si>
  <si>
    <t>CUS-2100</t>
  </si>
  <si>
    <t>ORD-7420</t>
  </si>
  <si>
    <t>ORD-7091</t>
  </si>
  <si>
    <t>CUS-2101</t>
  </si>
  <si>
    <t>ORD-7173</t>
  </si>
  <si>
    <t>CUS-2041</t>
  </si>
  <si>
    <t>ORD-7312</t>
  </si>
  <si>
    <t>CUS-2009</t>
  </si>
  <si>
    <t>ORD-7160</t>
  </si>
  <si>
    <t>ORD-7265</t>
  </si>
  <si>
    <t>ORD-7090</t>
  </si>
  <si>
    <t>ORD-7367</t>
  </si>
  <si>
    <t>CUS-2078</t>
  </si>
  <si>
    <t>ORD-7056</t>
  </si>
  <si>
    <t>CUS-2052</t>
  </si>
  <si>
    <t>ORD-7038</t>
  </si>
  <si>
    <t>ORD-7088</t>
  </si>
  <si>
    <t>CUS-2097</t>
  </si>
  <si>
    <t>ORD-7297</t>
  </si>
  <si>
    <t>ORD-7401</t>
  </si>
  <si>
    <t>ORD-7331</t>
  </si>
  <si>
    <t>CUS-2045</t>
  </si>
  <si>
    <t>ORD-7324</t>
  </si>
  <si>
    <t>CUS-2091</t>
  </si>
  <si>
    <t>ORD-7106</t>
  </si>
  <si>
    <t>Power Bank 20000mAh</t>
  </si>
  <si>
    <t>ORD-7231</t>
  </si>
  <si>
    <t>CUS-2017</t>
  </si>
  <si>
    <t>ORD-7298</t>
  </si>
  <si>
    <t>ORD-7157</t>
  </si>
  <si>
    <t>ORD-7356</t>
  </si>
  <si>
    <t>CUS-2064</t>
  </si>
  <si>
    <t>ORD-7418</t>
  </si>
  <si>
    <t>ORD-7337</t>
  </si>
  <si>
    <t>CUS-2085</t>
  </si>
  <si>
    <t>ORD-7359</t>
  </si>
  <si>
    <t>CUS-2003</t>
  </si>
  <si>
    <t>ORD-7064</t>
  </si>
  <si>
    <t>CUS-9088</t>
  </si>
  <si>
    <t>ORD-7191</t>
  </si>
  <si>
    <t>ORD-7315</t>
  </si>
  <si>
    <t>ORD-7384</t>
  </si>
  <si>
    <t>ORD-7030</t>
  </si>
  <si>
    <t>ORD-7407</t>
  </si>
  <si>
    <t>CUS-2039</t>
  </si>
  <si>
    <t>ORD-7017</t>
  </si>
  <si>
    <t>CUS-2036</t>
  </si>
  <si>
    <t>ORD-7372</t>
  </si>
  <si>
    <t>ORD-7155</t>
  </si>
  <si>
    <t>ORD-7107</t>
  </si>
  <si>
    <t>ORD-7257</t>
  </si>
  <si>
    <t>ORD-7394</t>
  </si>
  <si>
    <t>ORD-7014</t>
  </si>
  <si>
    <t>CUS-2018</t>
  </si>
  <si>
    <t>ORD-7027</t>
  </si>
  <si>
    <t>CUS-2005</t>
  </si>
  <si>
    <t>ORD-7140</t>
  </si>
  <si>
    <t>CUS-2029</t>
  </si>
  <si>
    <t>ORD-7151</t>
  </si>
  <si>
    <t>CUS-2066</t>
  </si>
  <si>
    <t>ORD-7222</t>
  </si>
  <si>
    <t>CUS-2046</t>
  </si>
  <si>
    <t>ORD-7175</t>
  </si>
  <si>
    <t>CUS-2049</t>
  </si>
  <si>
    <t>ORD-7159</t>
  </si>
  <si>
    <t>ORD-7352</t>
  </si>
  <si>
    <t>CUS-2110</t>
  </si>
  <si>
    <t>ORD-7240</t>
  </si>
  <si>
    <t>CUS-2004</t>
  </si>
  <si>
    <t>ORD-7199</t>
  </si>
  <si>
    <t>ORD-7378</t>
  </si>
  <si>
    <t>CUS-2050</t>
  </si>
  <si>
    <t>ORD-7211</t>
  </si>
  <si>
    <t>ORD-7007</t>
  </si>
  <si>
    <t>CUS-2037</t>
  </si>
  <si>
    <t>ORD-7128</t>
  </si>
  <si>
    <t>ORD-7249</t>
  </si>
  <si>
    <t>CUS-2022</t>
  </si>
  <si>
    <t>ORD-7283</t>
  </si>
  <si>
    <t>CUS-2011</t>
  </si>
  <si>
    <t>ORD-7187</t>
  </si>
  <si>
    <t>ORD-7226</t>
  </si>
  <si>
    <t>CUS-2086</t>
  </si>
  <si>
    <t>ORD-7338</t>
  </si>
  <si>
    <t>ORD-7334</t>
  </si>
  <si>
    <t>ORD-7054</t>
  </si>
  <si>
    <t>CUS-2008</t>
  </si>
  <si>
    <t>ORD-7181</t>
  </si>
  <si>
    <t>ORD-7269</t>
  </si>
  <si>
    <t>CUS-2076</t>
  </si>
  <si>
    <t>ORD-7021</t>
  </si>
  <si>
    <t>CUS-2087</t>
  </si>
  <si>
    <t>ORD-7131</t>
  </si>
  <si>
    <t>ORD-7301</t>
  </si>
  <si>
    <t>ORD-7032</t>
  </si>
  <si>
    <t>ORD-7171</t>
  </si>
  <si>
    <t>ORD-7408</t>
  </si>
  <si>
    <t>ORD-7073</t>
  </si>
  <si>
    <t>CUS-2096</t>
  </si>
  <si>
    <t>ORD-7172</t>
  </si>
  <si>
    <t>ORD-7035</t>
  </si>
  <si>
    <t>CUS-2118</t>
  </si>
  <si>
    <t>ORD-7190</t>
  </si>
  <si>
    <t>ORD-7033</t>
  </si>
  <si>
    <t>CUS-2002</t>
  </si>
  <si>
    <t>ORD-7105</t>
  </si>
  <si>
    <t>CUS-2094</t>
  </si>
  <si>
    <t>ORD-7235</t>
  </si>
  <si>
    <t>CUS-2092</t>
  </si>
  <si>
    <t>ORD-7351</t>
  </si>
  <si>
    <t>ORD-7102</t>
  </si>
  <si>
    <t>ORD-7275</t>
  </si>
  <si>
    <t>ORD-7020</t>
  </si>
  <si>
    <t>ORD-7343</t>
  </si>
  <si>
    <t>ORD-7201</t>
  </si>
  <si>
    <t>ORD-7144</t>
  </si>
  <si>
    <t>ORD-7278</t>
  </si>
  <si>
    <t>ORD-7080</t>
  </si>
  <si>
    <t>ORD-7330</t>
  </si>
  <si>
    <t>CUS-2088</t>
  </si>
  <si>
    <t>ORD-7308</t>
  </si>
  <si>
    <t>ORD-7125</t>
  </si>
  <si>
    <t>ORD-7182</t>
  </si>
  <si>
    <t>CUS-2117</t>
  </si>
  <si>
    <t>ORD-7152</t>
  </si>
  <si>
    <t>ORD-7244</t>
  </si>
  <si>
    <t>ORD-7321</t>
  </si>
  <si>
    <t>ORD-7051</t>
  </si>
  <si>
    <t>CUS-2001</t>
  </si>
  <si>
    <t>ORD-7031</t>
  </si>
  <si>
    <t>ORD-7354</t>
  </si>
  <si>
    <t>CUS-2019</t>
  </si>
  <si>
    <t>ORD-7112</t>
  </si>
  <si>
    <t>ORD-7185</t>
  </si>
  <si>
    <t>CUS-2012</t>
  </si>
  <si>
    <t>ORD-7307</t>
  </si>
  <si>
    <t>CUS-2113</t>
  </si>
  <si>
    <t>ORD-7385</t>
  </si>
  <si>
    <t>CUS-2069</t>
  </si>
  <si>
    <t>ORD-7024</t>
  </si>
  <si>
    <t>ORD-7388</t>
  </si>
  <si>
    <t>ORD-7043</t>
  </si>
  <si>
    <t>CUS-2074</t>
  </si>
  <si>
    <t>ORD-7393</t>
  </si>
  <si>
    <t>ORD-7274</t>
  </si>
  <si>
    <t>CUS-2099</t>
  </si>
  <si>
    <t>ORD-7129</t>
  </si>
  <si>
    <t>ORD-7154</t>
  </si>
  <si>
    <t>CUS-2040</t>
  </si>
  <si>
    <t>ORD-7361</t>
  </si>
  <si>
    <t>CUS-2042</t>
  </si>
  <si>
    <t>ORD-7150</t>
  </si>
  <si>
    <t>ORD-7366</t>
  </si>
  <si>
    <t>ORD-7258</t>
  </si>
  <si>
    <t>ORD-7272</t>
  </si>
  <si>
    <t>ORD-7295</t>
  </si>
  <si>
    <t>ORD-7344</t>
  </si>
  <si>
    <t>ORD-7084</t>
  </si>
  <si>
    <t>ORD-7066</t>
  </si>
  <si>
    <t>ORD-7311</t>
  </si>
  <si>
    <t>CUS-2106</t>
  </si>
  <si>
    <t>ORD-7358</t>
  </si>
  <si>
    <t>ORD-7149</t>
  </si>
  <si>
    <t>ORD-7139</t>
  </si>
  <si>
    <t>ORD-7138</t>
  </si>
  <si>
    <t>ORD-7239</t>
  </si>
  <si>
    <t>ORD-7176</t>
  </si>
  <si>
    <t>ORD-7412</t>
  </si>
  <si>
    <t>CUS-2056</t>
  </si>
  <si>
    <t>ORD-7163</t>
  </si>
  <si>
    <t>CUS-2062</t>
  </si>
  <si>
    <t>ORD-7120</t>
  </si>
  <si>
    <t>ORD-7194</t>
  </si>
  <si>
    <t>CUS-2061</t>
  </si>
  <si>
    <t>ORD-7223</t>
  </si>
  <si>
    <t>ORD-7332</t>
  </si>
  <si>
    <t>ORD-7045</t>
  </si>
  <si>
    <t>ORD-7133</t>
  </si>
  <si>
    <t>ORD-7147</t>
  </si>
  <si>
    <t>ORD-7230</t>
  </si>
  <si>
    <t>ORD-7252</t>
  </si>
  <si>
    <t>CUS-2043</t>
  </si>
  <si>
    <t>ORD-7402</t>
  </si>
  <si>
    <t>ORD-7196</t>
  </si>
  <si>
    <t>ORD-7316</t>
  </si>
  <si>
    <t>ORD-7142</t>
  </si>
  <si>
    <t>ORD-7029</t>
  </si>
  <si>
    <t>ORD-7010</t>
  </si>
  <si>
    <t>ORD-7168</t>
  </si>
  <si>
    <t>ORD-7254</t>
  </si>
  <si>
    <t>CUS-2016</t>
  </si>
  <si>
    <t>ORD-7267</t>
  </si>
  <si>
    <t>ORD-7008</t>
  </si>
  <si>
    <t>ORD-7314</t>
  </si>
  <si>
    <t>CUS-9203</t>
  </si>
  <si>
    <t>ORD-7373</t>
  </si>
  <si>
    <t>ORD-7042</t>
  </si>
  <si>
    <t>ORD-7096</t>
  </si>
  <si>
    <t>ORD-7318</t>
  </si>
  <si>
    <t>CUS-2028</t>
  </si>
  <si>
    <t>ORD-7417</t>
  </si>
  <si>
    <t>CUS-2115</t>
  </si>
  <si>
    <t>ORD-7100</t>
  </si>
  <si>
    <t>ORD-7218</t>
  </si>
  <si>
    <t>ORD-7108</t>
  </si>
  <si>
    <t>ORD-7364</t>
  </si>
  <si>
    <t>ORD-7416</t>
  </si>
  <si>
    <t>ORD-7019</t>
  </si>
  <si>
    <t>ORD-7153</t>
  </si>
  <si>
    <t>ORD-7303</t>
  </si>
  <si>
    <t>ORD-7397</t>
  </si>
  <si>
    <t>CUS-2058</t>
  </si>
  <si>
    <t>ORD-7141</t>
  </si>
  <si>
    <t>ORD-7063</t>
  </si>
  <si>
    <t>ORD-7075</t>
  </si>
  <si>
    <t>ORD-7178</t>
  </si>
  <si>
    <t>ORD-7015</t>
  </si>
  <si>
    <t>ORD-7001</t>
  </si>
  <si>
    <t>ORD-7404</t>
  </si>
  <si>
    <t>ORD-7040</t>
  </si>
  <si>
    <t>ORD-7304</t>
  </si>
  <si>
    <t>ORD-7011</t>
  </si>
  <si>
    <t>CUS-2073</t>
  </si>
  <si>
    <t>ORD-7058</t>
  </si>
  <si>
    <t>ORD-7302</t>
  </si>
  <si>
    <t>CUS-2063</t>
  </si>
  <si>
    <t>ORD-7004</t>
  </si>
  <si>
    <t>ORD-7116</t>
  </si>
  <si>
    <t>ORD-7093</t>
  </si>
  <si>
    <t>ORD-7167</t>
  </si>
  <si>
    <t>CUS-2015</t>
  </si>
  <si>
    <t>ORD-7200</t>
  </si>
  <si>
    <t>ORD-7266</t>
  </si>
  <si>
    <t>ORD-7081</t>
  </si>
  <si>
    <t>ORD-7264</t>
  </si>
  <si>
    <t>ORD-7094</t>
  </si>
  <si>
    <t>ORD-7158</t>
  </si>
  <si>
    <t>ORD-7346</t>
  </si>
  <si>
    <t>ORD-7148</t>
  </si>
  <si>
    <t>ORD-7261</t>
  </si>
  <si>
    <t>ORD-7041</t>
  </si>
  <si>
    <t>ORD-7086</t>
  </si>
  <si>
    <t>ORD-7092</t>
  </si>
  <si>
    <t>ORD-7134</t>
  </si>
  <si>
    <t>CUS-2098</t>
  </si>
  <si>
    <t>ORD-7193</t>
  </si>
  <si>
    <t>ORD-7263</t>
  </si>
  <si>
    <t>ORD-7406</t>
  </si>
  <si>
    <t>ORD-7123</t>
  </si>
  <si>
    <t>CUS-2082</t>
  </si>
  <si>
    <t>ORD-7228</t>
  </si>
  <si>
    <t>ORD-7037</t>
  </si>
  <si>
    <t>ORD-7104</t>
  </si>
  <si>
    <t>ORD-7059</t>
  </si>
  <si>
    <t>CUS-2034</t>
  </si>
  <si>
    <t>ORD-7400</t>
  </si>
  <si>
    <t>CUS-2048</t>
  </si>
  <si>
    <t>ORD-7217</t>
  </si>
  <si>
    <t>ORD-7111</t>
  </si>
  <si>
    <t>ORD-7183</t>
  </si>
  <si>
    <t>ORD-7210</t>
  </si>
  <si>
    <t>ORD-7319</t>
  </si>
  <si>
    <t>ORD-7327</t>
  </si>
  <si>
    <t>CUS-2010</t>
  </si>
  <si>
    <t>ORD-7026</t>
  </si>
  <si>
    <t>ORD-7292</t>
  </si>
  <si>
    <t>ORD-7377</t>
  </si>
  <si>
    <t>ORD-7002</t>
  </si>
  <si>
    <t>ORD-7089</t>
  </si>
  <si>
    <t>ORD-7270</t>
  </si>
  <si>
    <t>ORD-7380</t>
  </si>
  <si>
    <t>ORD-7136</t>
  </si>
  <si>
    <t>ORD-7224</t>
  </si>
  <si>
    <t>ORD-7286</t>
  </si>
  <si>
    <t>ORD-7253</t>
  </si>
  <si>
    <t>ORD-7277</t>
  </si>
  <si>
    <t>ORD-7114</t>
  </si>
  <si>
    <t>CUS-2014</t>
  </si>
  <si>
    <t>ORD-7313</t>
  </si>
  <si>
    <t>ORD-7392</t>
  </si>
  <si>
    <t>ORD-7070</t>
  </si>
  <si>
    <t>ORD-7057</t>
  </si>
  <si>
    <t>ORD-7165</t>
  </si>
  <si>
    <t>ORD-7170</t>
  </si>
  <si>
    <t>ORD-7198</t>
  </si>
  <si>
    <t>ORD-7022</t>
  </si>
  <si>
    <t>ORD-7078</t>
  </si>
  <si>
    <t>ORD-7236</t>
  </si>
  <si>
    <t>ORD-7072</t>
  </si>
  <si>
    <t>ORD-7369</t>
  </si>
  <si>
    <t>ORD-7246</t>
  </si>
  <si>
    <t>ORD-7130</t>
  </si>
  <si>
    <t>ORD-7414</t>
  </si>
  <si>
    <t>ORD-7299</t>
  </si>
  <si>
    <t>ORD-7360</t>
  </si>
  <si>
    <t>ORD-7245</t>
  </si>
  <si>
    <t>ORD-7371</t>
  </si>
  <si>
    <t>ORD-7039</t>
  </si>
  <si>
    <t>ORD-7322</t>
  </si>
  <si>
    <t>ORD-7161</t>
  </si>
  <si>
    <t>ORD-7135</t>
  </si>
  <si>
    <t>ORD-7381</t>
  </si>
  <si>
    <t>ORD-7205</t>
  </si>
  <si>
    <t>ORD-7207</t>
  </si>
  <si>
    <t>ORD-7255</t>
  </si>
  <si>
    <t>ORD-7016</t>
  </si>
  <si>
    <t>ORD-7204</t>
  </si>
  <si>
    <t>ORD-7146</t>
  </si>
  <si>
    <t>ORD-7097</t>
  </si>
  <si>
    <t>ORD-7189</t>
  </si>
  <si>
    <t>CUS-2057</t>
  </si>
  <si>
    <t>ORD-7390</t>
  </si>
  <si>
    <t>ORD-7044</t>
  </si>
  <si>
    <t>ORD-7310</t>
  </si>
  <si>
    <t>ORD-7317</t>
  </si>
  <si>
    <t>ORD-7353</t>
  </si>
  <si>
    <t>ORD-7379</t>
  </si>
  <si>
    <t>ORD-7242</t>
  </si>
  <si>
    <t>ORD-7127</t>
  </si>
  <si>
    <t>CUS-2059</t>
  </si>
  <si>
    <t>ORD-7179</t>
  </si>
  <si>
    <t>ORD-7305</t>
  </si>
  <si>
    <t>ORD-7055</t>
  </si>
  <si>
    <t>ORD-7083</t>
  </si>
  <si>
    <t>ORD-7296</t>
  </si>
  <si>
    <t>ORD-7328</t>
  </si>
  <si>
    <t>CUS-2007</t>
  </si>
  <si>
    <t>ORD-7212</t>
  </si>
  <si>
    <t>ORD-7229</t>
  </si>
  <si>
    <t>ORD-7260</t>
  </si>
  <si>
    <t>ORD-7047</t>
  </si>
  <si>
    <t>ORD-7209</t>
  </si>
  <si>
    <t>ORD-7082</t>
  </si>
  <si>
    <t>ORD-7349</t>
  </si>
  <si>
    <t>ORD-7276</t>
  </si>
  <si>
    <t>ORD-7386</t>
  </si>
  <si>
    <t>ORD-7259</t>
  </si>
  <si>
    <t>ORD-7340</t>
  </si>
  <si>
    <t>ORD-7046</t>
  </si>
  <si>
    <t>ORD-7101</t>
  </si>
  <si>
    <t>ORD-7050</t>
  </si>
  <si>
    <t>ORD-7219</t>
  </si>
  <si>
    <t>ORD-7132</t>
  </si>
  <si>
    <t>ORD-7294</t>
  </si>
  <si>
    <t>ORD-7347</t>
  </si>
  <si>
    <t>ORD-7098</t>
  </si>
  <si>
    <t>ORD-7348</t>
  </si>
  <si>
    <t>ORD-7195</t>
  </si>
  <si>
    <t>ORD-7188</t>
  </si>
  <si>
    <t>ORD-7396</t>
  </si>
  <si>
    <t>ORD-7415</t>
  </si>
  <si>
    <t>CUS-9344</t>
  </si>
  <si>
    <t>ORD-7306</t>
  </si>
  <si>
    <t>ORD-7403</t>
  </si>
  <si>
    <t>ORD-7068</t>
  </si>
  <si>
    <t>ORD-7342</t>
  </si>
  <si>
    <t>ORD-7095</t>
  </si>
  <si>
    <t>ORD-7336</t>
  </si>
  <si>
    <t>ORD-7399</t>
  </si>
  <si>
    <t>ORD-7234</t>
  </si>
  <si>
    <t>ORD-7335</t>
  </si>
  <si>
    <t>ORD-7028</t>
  </si>
  <si>
    <t>ORD-7113</t>
  </si>
  <si>
    <t>ORD-7117</t>
  </si>
  <si>
    <t>ORD-7325</t>
  </si>
  <si>
    <t>ORD-7023</t>
  </si>
  <si>
    <t>ORD-7192</t>
  </si>
  <si>
    <t>ORD-7216</t>
  </si>
  <si>
    <t>ORD-7285</t>
  </si>
  <si>
    <t>ORD-7280</t>
  </si>
  <si>
    <t>ORD-7293</t>
  </si>
  <si>
    <t>ORD-7036</t>
  </si>
  <si>
    <t>ORD-7413</t>
  </si>
  <si>
    <t>ORD-7110</t>
  </si>
  <si>
    <t>ORD-7238</t>
  </si>
  <si>
    <t>ORD-7291</t>
  </si>
  <si>
    <t>ORD-7262</t>
  </si>
  <si>
    <t>ORD-7339</t>
  </si>
  <si>
    <t>CUS-2119</t>
  </si>
  <si>
    <t>ORD-7124</t>
  </si>
  <si>
    <t>ORD-7062</t>
  </si>
  <si>
    <t>ORD-7060</t>
  </si>
  <si>
    <t>ORD-7137</t>
  </si>
  <si>
    <t>ORD-7237</t>
  </si>
  <si>
    <t>ORD-7289</t>
  </si>
  <si>
    <t>ORD-7300</t>
  </si>
  <si>
    <t>ORD-7208</t>
  </si>
  <si>
    <t>ORD-7052</t>
  </si>
  <si>
    <t>ORD-7362</t>
  </si>
  <si>
    <t>ORD-7145</t>
  </si>
  <si>
    <t>ORD-7251</t>
  </si>
  <si>
    <t>ORD-7376</t>
  </si>
  <si>
    <t>ORD-7087</t>
  </si>
  <si>
    <t>ORD-7126</t>
  </si>
  <si>
    <t>ORD-7049</t>
  </si>
  <si>
    <t>ORD-7341</t>
  </si>
  <si>
    <t>ORD-7363</t>
  </si>
  <si>
    <t>ORD-7279</t>
  </si>
  <si>
    <t>ORD-7387</t>
  </si>
  <si>
    <t>ORD-7221</t>
  </si>
  <si>
    <t>ORD-7069</t>
  </si>
  <si>
    <t>ORD-7333</t>
  </si>
  <si>
    <t>ORD-7357</t>
  </si>
  <si>
    <t>ORD-7271</t>
  </si>
  <si>
    <t>ORD-7281</t>
  </si>
  <si>
    <t>ORD-7309</t>
  </si>
  <si>
    <t>ORD-7233</t>
  </si>
  <si>
    <t>ORD-7034</t>
  </si>
  <si>
    <t>ORD-7214</t>
  </si>
  <si>
    <t>ORD-7355</t>
  </si>
  <si>
    <t>ORD-7206</t>
  </si>
  <si>
    <t>ORD-7370</t>
  </si>
  <si>
    <t>ORD-7061</t>
  </si>
  <si>
    <t>ORD-7012</t>
  </si>
  <si>
    <t>ORD-7374</t>
  </si>
  <si>
    <t>ORD-7405</t>
  </si>
  <si>
    <t>Monthly revenue target by region (NGN)</t>
  </si>
  <si>
    <t>monthly_target_ngn</t>
  </si>
  <si>
    <t>Other rates used by the business</t>
  </si>
  <si>
    <t>VAT rate</t>
  </si>
  <si>
    <t>Commission rate</t>
  </si>
  <si>
    <t>Large order threshold (NGN)</t>
  </si>
  <si>
    <t>Late delivery threshold (days)</t>
  </si>
  <si>
    <t>Never type these numbers into a formula. Point at the cell.</t>
  </si>
  <si>
    <t>Formula Ladder — build your answers here</t>
  </si>
  <si>
    <t>Write the formula in column C. Column D is for what the number means.</t>
  </si>
  <si>
    <t>#</t>
  </si>
  <si>
    <t>Business question</t>
  </si>
  <si>
    <t>Your answer</t>
  </si>
  <si>
    <t>What it tells the business</t>
  </si>
  <si>
    <t>RUNG 1 — count and total</t>
  </si>
  <si>
    <t>How many orders are in this dataset?</t>
  </si>
  <si>
    <t>What is the total quantity sold across the year?</t>
  </si>
  <si>
    <t>What is the largest single order quantity?</t>
  </si>
  <si>
    <t>RUNG 2 — build the missing columns</t>
  </si>
  <si>
    <t>Add a revenue column. What is total revenue for the year?</t>
  </si>
  <si>
    <t>Add a profit column. What is total profit?</t>
  </si>
  <si>
    <t>Add a month column. Which month has the most orders?</t>
  </si>
  <si>
    <t>RUNG 3 — one condition</t>
  </si>
  <si>
    <t>Flag every order over the large-order threshold as “Large”, else “Standard”.</t>
  </si>
  <si>
    <t>Flag every delivery over the late threshold as “Late”, else “On time”.</t>
  </si>
  <si>
    <t>How many orders were Large AND Late?</t>
  </si>
  <si>
    <t>RUNG 4 — conditional totals</t>
  </si>
  <si>
    <t>What is total revenue for Lagos?</t>
  </si>
  <si>
    <t>How many orders came through the Mobile App?</t>
  </si>
  <si>
    <t>What is the average order value in Kano?</t>
  </si>
  <si>
    <t>RUNG 5 — two or more conditions</t>
  </si>
  <si>
    <t>Total revenue for Electronics in Lagos.</t>
  </si>
  <si>
    <t>Number of Web orders in Q4 (Oct–Dec).</t>
  </si>
  <si>
    <t>Average delivery days for Lagos orders placed in December.</t>
  </si>
  <si>
    <t>RUNG 6 — make it safe and reusable</t>
  </si>
  <si>
    <t>Revenue per order for a region, protected against divide-by-zero.</t>
  </si>
  <si>
    <t>Did each region beat its monthly target in December? Yes or No.</t>
  </si>
  <si>
    <t>first_name</t>
  </si>
  <si>
    <t>last_name</t>
  </si>
  <si>
    <t>customer_name</t>
  </si>
  <si>
    <t>email</t>
  </si>
  <si>
    <t>phone</t>
  </si>
  <si>
    <t>city</t>
  </si>
  <si>
    <t>state</t>
  </si>
  <si>
    <t>signup_date</t>
  </si>
  <si>
    <t>segment</t>
  </si>
  <si>
    <t>credit_limit_ngn</t>
  </si>
  <si>
    <t>CUS-2105</t>
  </si>
  <si>
    <t>Adaeze</t>
  </si>
  <si>
    <t>Nnamdi</t>
  </si>
  <si>
    <t>Adaeze Nnamdi</t>
  </si>
  <si>
    <t>adaeze.nnamdi@example.com</t>
  </si>
  <si>
    <t>Oyo</t>
  </si>
  <si>
    <t>2025-04-27</t>
  </si>
  <si>
    <t>Retail</t>
  </si>
  <si>
    <t>Chidi</t>
  </si>
  <si>
    <t>Nwosu</t>
  </si>
  <si>
    <t>Chidi Nwosu</t>
  </si>
  <si>
    <t>chidi.nwosu@example.com</t>
  </si>
  <si>
    <t>08093639437</t>
  </si>
  <si>
    <t>2025-08-25</t>
  </si>
  <si>
    <t>Jide</t>
  </si>
  <si>
    <t>Umeh</t>
  </si>
  <si>
    <t>Jide Umeh</t>
  </si>
  <si>
    <t>jide.umeh@example.com</t>
  </si>
  <si>
    <t>08026428932</t>
  </si>
  <si>
    <t>2024-06-21</t>
  </si>
  <si>
    <t>Wholesale</t>
  </si>
  <si>
    <t>Tunde</t>
  </si>
  <si>
    <t>Mohammed</t>
  </si>
  <si>
    <t>Tunde Mohammed</t>
  </si>
  <si>
    <t>tunde.mohammed@example.com</t>
  </si>
  <si>
    <t>08035666553</t>
  </si>
  <si>
    <t>2024-06-25</t>
  </si>
  <si>
    <t>Emeka</t>
  </si>
  <si>
    <t>Balogun</t>
  </si>
  <si>
    <t>Emeka Balogun</t>
  </si>
  <si>
    <t>emeka.balogun@example.com</t>
  </si>
  <si>
    <t>08092899702</t>
  </si>
  <si>
    <t>2025-06-25</t>
  </si>
  <si>
    <t>Adaeze Balogun</t>
  </si>
  <si>
    <t>adaeze.balogun@example.com</t>
  </si>
  <si>
    <t>08070190705</t>
  </si>
  <si>
    <t>2025-05-06</t>
  </si>
  <si>
    <t>Hauwa</t>
  </si>
  <si>
    <t>Okafor</t>
  </si>
  <si>
    <t>Hauwa Okafor</t>
  </si>
  <si>
    <t>hauwa.okafor@example.com</t>
  </si>
  <si>
    <t>08089549610</t>
  </si>
  <si>
    <t>2025-05-29</t>
  </si>
  <si>
    <t>Blessing</t>
  </si>
  <si>
    <t>Eze</t>
  </si>
  <si>
    <t>Blessing Eze</t>
  </si>
  <si>
    <t>blessing.eze@example.com</t>
  </si>
  <si>
    <t>08057745602</t>
  </si>
  <si>
    <t>FCT</t>
  </si>
  <si>
    <t>2025-07-08</t>
  </si>
  <si>
    <t>Ifeoma</t>
  </si>
  <si>
    <t>Adebayo</t>
  </si>
  <si>
    <t>Ifeoma Adebayo</t>
  </si>
  <si>
    <t>ifeoma.adebayo@example.com</t>
  </si>
  <si>
    <t>08073508072</t>
  </si>
  <si>
    <t>2024-01-25</t>
  </si>
  <si>
    <t>Sadiq</t>
  </si>
  <si>
    <t>Chukwu</t>
  </si>
  <si>
    <t>Sadiq Chukwu</t>
  </si>
  <si>
    <t>08023757759</t>
  </si>
  <si>
    <t>2024-07-01</t>
  </si>
  <si>
    <t>Chinelo</t>
  </si>
  <si>
    <t>Jibril</t>
  </si>
  <si>
    <t>Chinelo Jibril</t>
  </si>
  <si>
    <t>chinelo.jibril@example.com</t>
  </si>
  <si>
    <t>08061052474</t>
  </si>
  <si>
    <t>Rivers</t>
  </si>
  <si>
    <t>2025-02-12</t>
  </si>
  <si>
    <t>Obinna</t>
  </si>
  <si>
    <t>Kalu</t>
  </si>
  <si>
    <t>Obinna Kalu</t>
  </si>
  <si>
    <t>obinna.kalu@example.com</t>
  </si>
  <si>
    <t>2024-12-17</t>
  </si>
  <si>
    <t>Uche</t>
  </si>
  <si>
    <t>Sanni</t>
  </si>
  <si>
    <t>Uche Sanni</t>
  </si>
  <si>
    <t>uche.sanni@example.com</t>
  </si>
  <si>
    <t>08034248880</t>
  </si>
  <si>
    <t>2025-05-23</t>
  </si>
  <si>
    <t>Corporate</t>
  </si>
  <si>
    <t>Ogunleye</t>
  </si>
  <si>
    <t>Tunde Ogunleye</t>
  </si>
  <si>
    <t>tunde.ogunleye@example.com</t>
  </si>
  <si>
    <t>08064244757</t>
  </si>
  <si>
    <t>2025-02-20</t>
  </si>
  <si>
    <t>Obi</t>
  </si>
  <si>
    <t>Blessing Obi</t>
  </si>
  <si>
    <t>blessing.obi@example.com</t>
  </si>
  <si>
    <t>08065119254</t>
  </si>
  <si>
    <t>2025-04-20</t>
  </si>
  <si>
    <t>Nneka</t>
  </si>
  <si>
    <t>Oyelaran</t>
  </si>
  <si>
    <t>Nneka Oyelaran</t>
  </si>
  <si>
    <t>nneka.oyelaran@example.com</t>
  </si>
  <si>
    <t>08015694677</t>
  </si>
  <si>
    <t>Dayo</t>
  </si>
  <si>
    <t>Musa</t>
  </si>
  <si>
    <t>Dayo Musa</t>
  </si>
  <si>
    <t>dayo.musa@example.com</t>
  </si>
  <si>
    <t>08069067214</t>
  </si>
  <si>
    <t>2024-11-01</t>
  </si>
  <si>
    <t>CUS-2055</t>
  </si>
  <si>
    <t>Bashir</t>
  </si>
  <si>
    <t>Bashir Umeh</t>
  </si>
  <si>
    <t>bashir.umeh@example.com</t>
  </si>
  <si>
    <t>08020318347</t>
  </si>
  <si>
    <t>2025-07-04</t>
  </si>
  <si>
    <t>Damilola</t>
  </si>
  <si>
    <t>Damilola Nwosu</t>
  </si>
  <si>
    <t>damilola.nwosu@example.com</t>
  </si>
  <si>
    <t>08050022699</t>
  </si>
  <si>
    <t>2025-09-09</t>
  </si>
  <si>
    <t>Fatima</t>
  </si>
  <si>
    <t>Peters</t>
  </si>
  <si>
    <t>Fatima Peters</t>
  </si>
  <si>
    <t>fatima.peters@example.com</t>
  </si>
  <si>
    <t>08052529204</t>
  </si>
  <si>
    <t>2025-03-15</t>
  </si>
  <si>
    <t>Femi</t>
  </si>
  <si>
    <t>Nwachukwu</t>
  </si>
  <si>
    <t>Femi Nwachukwu</t>
  </si>
  <si>
    <t>femi.nwachukwu@example.con</t>
  </si>
  <si>
    <t>08085088022</t>
  </si>
  <si>
    <t>2024-06-15</t>
  </si>
  <si>
    <t>Lawal</t>
  </si>
  <si>
    <t>Jide Lawal</t>
  </si>
  <si>
    <t>jide.lawal@example.com</t>
  </si>
  <si>
    <t>08020577895</t>
  </si>
  <si>
    <t>2024-11-03</t>
  </si>
  <si>
    <t>CUS-2080</t>
  </si>
  <si>
    <t>Musa Nwosu</t>
  </si>
  <si>
    <t>musa.nwosu@example.com</t>
  </si>
  <si>
    <t>08062699461</t>
  </si>
  <si>
    <t>2024-07-30</t>
  </si>
  <si>
    <t>Ibrahim</t>
  </si>
  <si>
    <t>Emeka Ibrahim</t>
  </si>
  <si>
    <t>emeka.ibrahim@example.com</t>
  </si>
  <si>
    <t>08075615636</t>
  </si>
  <si>
    <t>2025-07-30</t>
  </si>
  <si>
    <t>Aisha</t>
  </si>
  <si>
    <t>Aisha Okafor</t>
  </si>
  <si>
    <t>aisha.okafor@example.com</t>
  </si>
  <si>
    <t>08055595154</t>
  </si>
  <si>
    <t>2024-04-19</t>
  </si>
  <si>
    <t>Blessing Nnamdi</t>
  </si>
  <si>
    <t>blessing.nnamdi@example.com</t>
  </si>
  <si>
    <t>08030323591</t>
  </si>
  <si>
    <t>2025-07-14</t>
  </si>
  <si>
    <t>Uche Chukwu</t>
  </si>
  <si>
    <t>uche.chukwu@example.com</t>
  </si>
  <si>
    <t>08044350672</t>
  </si>
  <si>
    <t>2025-11-10</t>
  </si>
  <si>
    <t>Fatima Ogunleye</t>
  </si>
  <si>
    <t>fatima.ogunleye@example.com</t>
  </si>
  <si>
    <t>08060449127</t>
  </si>
  <si>
    <t>2024-02-02</t>
  </si>
  <si>
    <t>Ojo</t>
  </si>
  <si>
    <t>Aisha Ojo</t>
  </si>
  <si>
    <t>aisha.ojo@example.com</t>
  </si>
  <si>
    <t>08019623415</t>
  </si>
  <si>
    <t>2024-03-05</t>
  </si>
  <si>
    <t>Zainab</t>
  </si>
  <si>
    <t>Zainab Sanni</t>
  </si>
  <si>
    <t>zainab.sanni@example.com</t>
  </si>
  <si>
    <t>08087498903</t>
  </si>
  <si>
    <t>2025-05-12</t>
  </si>
  <si>
    <t>Yemi</t>
  </si>
  <si>
    <t>Adeyemi</t>
  </si>
  <si>
    <t>Yemi Adeyemi</t>
  </si>
  <si>
    <t>yemi.adeyemi@example.com</t>
  </si>
  <si>
    <t>08047228775</t>
  </si>
  <si>
    <t>2024-08-06</t>
  </si>
  <si>
    <t>Tunde Oyelaran</t>
  </si>
  <si>
    <t>tunde.oyelaran@example.com</t>
  </si>
  <si>
    <t>08068874920</t>
  </si>
  <si>
    <t>2024-10-18</t>
  </si>
  <si>
    <t>Amaka</t>
  </si>
  <si>
    <t>Amaka Balogun</t>
  </si>
  <si>
    <t>amaka.balogun at example.com</t>
  </si>
  <si>
    <t>08025227755</t>
  </si>
  <si>
    <t>2025-04-22</t>
  </si>
  <si>
    <t>Maryam</t>
  </si>
  <si>
    <t>Maryam Oyelaran</t>
  </si>
  <si>
    <t>maryam.oyelaran@example.com</t>
  </si>
  <si>
    <t>08023400909</t>
  </si>
  <si>
    <t>2024-03-19</t>
  </si>
  <si>
    <t>Dayo Jibril</t>
  </si>
  <si>
    <t>08066789777</t>
  </si>
  <si>
    <t>2024-01-26</t>
  </si>
  <si>
    <t>Blessing Ojo</t>
  </si>
  <si>
    <t>08045101662</t>
  </si>
  <si>
    <t>2024-09-02</t>
  </si>
  <si>
    <t>Tunde Sanni</t>
  </si>
  <si>
    <t>tunde.sanni@example.com</t>
  </si>
  <si>
    <t>08056055382</t>
  </si>
  <si>
    <t>2024-05-04</t>
  </si>
  <si>
    <t>Adeleke</t>
  </si>
  <si>
    <t>Blessing Adeleke</t>
  </si>
  <si>
    <t>blessing.adeleke@example.com</t>
  </si>
  <si>
    <t>08058059832</t>
  </si>
  <si>
    <t>2025-08-23</t>
  </si>
  <si>
    <t>Yusuf</t>
  </si>
  <si>
    <t>Blessing Yusuf</t>
  </si>
  <si>
    <t>blessing.yusuf@example.com</t>
  </si>
  <si>
    <t>08012304485</t>
  </si>
  <si>
    <t>2024-04-04</t>
  </si>
  <si>
    <t>Gbenga</t>
  </si>
  <si>
    <t>Gbenga Ojo</t>
  </si>
  <si>
    <t>gbenga.ojo@example.com</t>
  </si>
  <si>
    <t>08016048683</t>
  </si>
  <si>
    <t>2024-03-12</t>
  </si>
  <si>
    <t>08041319377</t>
  </si>
  <si>
    <t>2024-02-21</t>
  </si>
  <si>
    <t>Obinna Chukwu</t>
  </si>
  <si>
    <t>obinna.chukwu@example.com</t>
  </si>
  <si>
    <t>08074165816</t>
  </si>
  <si>
    <t>2025-11-28</t>
  </si>
  <si>
    <t>Grace</t>
  </si>
  <si>
    <t>Grace Yusuf</t>
  </si>
  <si>
    <t>grace.yusuf@example.com</t>
  </si>
  <si>
    <t>08016695186</t>
  </si>
  <si>
    <t>2024-02-06</t>
  </si>
  <si>
    <t>Danjuma</t>
  </si>
  <si>
    <t>Emeka Danjuma</t>
  </si>
  <si>
    <t>emeka.danjuma@example.com</t>
  </si>
  <si>
    <t>08056740511</t>
  </si>
  <si>
    <t>2024-01-18</t>
  </si>
  <si>
    <t>Ngozi</t>
  </si>
  <si>
    <t>Bello</t>
  </si>
  <si>
    <t>Ngozi Bello</t>
  </si>
  <si>
    <t>ngozi.bello@example.com</t>
  </si>
  <si>
    <t>08061346464</t>
  </si>
  <si>
    <t>2024-06-14</t>
  </si>
  <si>
    <t>Hauwa Eze</t>
  </si>
  <si>
    <t>hauwa.eze@example.com</t>
  </si>
  <si>
    <t>08035017182</t>
  </si>
  <si>
    <t>2025-05-10</t>
  </si>
  <si>
    <t>Tunde Kalu</t>
  </si>
  <si>
    <t>tunde.kalu@example.com</t>
  </si>
  <si>
    <t>08096232563</t>
  </si>
  <si>
    <t>2025-03-22</t>
  </si>
  <si>
    <t>Uche Nwachukwu</t>
  </si>
  <si>
    <t>uche.nwachukwu@example.com</t>
  </si>
  <si>
    <t>2025-08-13</t>
  </si>
  <si>
    <t>Hauwa Sanni</t>
  </si>
  <si>
    <t>hauwa.sanni@example.com</t>
  </si>
  <si>
    <t>08086137704</t>
  </si>
  <si>
    <t>2024-08-07</t>
  </si>
  <si>
    <t>Funmi</t>
  </si>
  <si>
    <t>Funmi Okafor</t>
  </si>
  <si>
    <t>funmi.okafor@example.com</t>
  </si>
  <si>
    <t>08039233233</t>
  </si>
  <si>
    <t>2025-03-21</t>
  </si>
  <si>
    <t>Halima</t>
  </si>
  <si>
    <t>Halima Ibrahim</t>
  </si>
  <si>
    <t>halima.ibrahim@example.com</t>
  </si>
  <si>
    <t>08052725664</t>
  </si>
  <si>
    <t>2025-05-24</t>
  </si>
  <si>
    <t>Obinna Umeh</t>
  </si>
  <si>
    <t>08055631009</t>
  </si>
  <si>
    <t>2024-09-16</t>
  </si>
  <si>
    <t>Amaka Eze</t>
  </si>
  <si>
    <t>amaka.eze@example.com</t>
  </si>
  <si>
    <t>08078504038</t>
  </si>
  <si>
    <t>2024-04-21</t>
  </si>
  <si>
    <t>Dayo Balogun</t>
  </si>
  <si>
    <t>08028568072</t>
  </si>
  <si>
    <t>2025-02-16</t>
  </si>
  <si>
    <t>Iheanacho</t>
  </si>
  <si>
    <t>Chidi Iheanacho</t>
  </si>
  <si>
    <t>chidi.iheanacho@example.com</t>
  </si>
  <si>
    <t>08080056058</t>
  </si>
  <si>
    <t>Ijeoma</t>
  </si>
  <si>
    <t>Ijeoma Adeleke</t>
  </si>
  <si>
    <t>ijeoma.adeleke@example.com</t>
  </si>
  <si>
    <t>08014619463</t>
  </si>
  <si>
    <t>2025-10-06</t>
  </si>
  <si>
    <t>Adaeze Okafor</t>
  </si>
  <si>
    <t>adaeze.okafor@example.com</t>
  </si>
  <si>
    <t>08061360863</t>
  </si>
  <si>
    <t>2024-04-05</t>
  </si>
  <si>
    <t>Halima Adebayo</t>
  </si>
  <si>
    <t>halima.adebayo@example.com</t>
  </si>
  <si>
    <t>08025443432</t>
  </si>
  <si>
    <t>2024-07-16</t>
  </si>
  <si>
    <t>Amaka Bello</t>
  </si>
  <si>
    <t>amaka.bello@example.com</t>
  </si>
  <si>
    <t>08015295861</t>
  </si>
  <si>
    <t>2025-10-09</t>
  </si>
  <si>
    <t>Funmi Kalu</t>
  </si>
  <si>
    <t>funmi.kalu@example.com</t>
  </si>
  <si>
    <t>08045344597</t>
  </si>
  <si>
    <t>2024-11-16</t>
  </si>
  <si>
    <t>Aisha Eze</t>
  </si>
  <si>
    <t>aisha.eze@example.com</t>
  </si>
  <si>
    <t>08078806340</t>
  </si>
  <si>
    <t>2024-04-29</t>
  </si>
  <si>
    <t>Lanre</t>
  </si>
  <si>
    <t>Lanre Balogun</t>
  </si>
  <si>
    <t>lanre.balogun@example.com</t>
  </si>
  <si>
    <t>08074321018</t>
  </si>
  <si>
    <t>2024-04-23</t>
  </si>
  <si>
    <t>Yemi Lawal</t>
  </si>
  <si>
    <t>yemi.lawal@example.com</t>
  </si>
  <si>
    <t>08067659106</t>
  </si>
  <si>
    <t>2025-07-21</t>
  </si>
  <si>
    <t>Adaeze Nwosu</t>
  </si>
  <si>
    <t>adaeze.nwosu@example.com</t>
  </si>
  <si>
    <t>08020864786</t>
  </si>
  <si>
    <t>2024-03-14</t>
  </si>
  <si>
    <t>Gbenga Okafor</t>
  </si>
  <si>
    <t>gbenga.okafor@example.com</t>
  </si>
  <si>
    <t>08014934149</t>
  </si>
  <si>
    <t>2025-04-24</t>
  </si>
  <si>
    <t>Ngozi Oyelaran</t>
  </si>
  <si>
    <t>ngozi.oyelaran@example.com</t>
  </si>
  <si>
    <t>08016154348</t>
  </si>
  <si>
    <t>2024-01-02</t>
  </si>
  <si>
    <t>08076507965</t>
  </si>
  <si>
    <t>2024-06-01</t>
  </si>
  <si>
    <t>Temitope</t>
  </si>
  <si>
    <t>Temitope Nnamdi</t>
  </si>
  <si>
    <t>temitope.nnamdi@example.com</t>
  </si>
  <si>
    <t>08060805489</t>
  </si>
  <si>
    <t>2024-09-18</t>
  </si>
  <si>
    <t>Nneka Nnamdi</t>
  </si>
  <si>
    <t>nneka.nnamdi@example.com</t>
  </si>
  <si>
    <t>08098963564</t>
  </si>
  <si>
    <t>Fashola</t>
  </si>
  <si>
    <t>Maryam Fashola</t>
  </si>
  <si>
    <t>maryam.fashola@example.com</t>
  </si>
  <si>
    <t>08016425548</t>
  </si>
  <si>
    <t>2024-06-18</t>
  </si>
  <si>
    <t>Yemi Ogunleye</t>
  </si>
  <si>
    <t>yemi.ogunleye@example.com</t>
  </si>
  <si>
    <t>08064110572</t>
  </si>
  <si>
    <t>2025-01-24</t>
  </si>
  <si>
    <t>Halima Mohammed</t>
  </si>
  <si>
    <t>halima.mohammed@example.com</t>
  </si>
  <si>
    <t>08094982916</t>
  </si>
  <si>
    <t>Kelechi</t>
  </si>
  <si>
    <t>Kelechi Kalu</t>
  </si>
  <si>
    <t>kelechi.kalu@example.com</t>
  </si>
  <si>
    <t>08019833674</t>
  </si>
  <si>
    <t>2024-12-03</t>
  </si>
  <si>
    <t>Ijeoma Nnamdi</t>
  </si>
  <si>
    <t>ijeoma.nnamdi@example.com</t>
  </si>
  <si>
    <t>08032220143</t>
  </si>
  <si>
    <t>2024-06-05</t>
  </si>
  <si>
    <t>Sadiq Iheanacho</t>
  </si>
  <si>
    <t>08036255823</t>
  </si>
  <si>
    <t>2025-07-24</t>
  </si>
  <si>
    <t>Efe</t>
  </si>
  <si>
    <t>Efe Umeh</t>
  </si>
  <si>
    <t>efe.umeh@example.com</t>
  </si>
  <si>
    <t>08042120626</t>
  </si>
  <si>
    <t>2025-05-19</t>
  </si>
  <si>
    <t>Bola</t>
  </si>
  <si>
    <t>Bola Kalu</t>
  </si>
  <si>
    <t>bola.kalu@example.com</t>
  </si>
  <si>
    <t>08051166522</t>
  </si>
  <si>
    <t>2025-10-24</t>
  </si>
  <si>
    <t>Funmi Musa</t>
  </si>
  <si>
    <t>funmi.musa@example.com</t>
  </si>
  <si>
    <t>08080458209</t>
  </si>
  <si>
    <t>2025-06-17</t>
  </si>
  <si>
    <t>Adaeze Musa</t>
  </si>
  <si>
    <t>adaeze.musa@example.com</t>
  </si>
  <si>
    <t>08048825280</t>
  </si>
  <si>
    <t>2024-10-12</t>
  </si>
  <si>
    <t>Obinna Oyelaran</t>
  </si>
  <si>
    <t>obinna.oyelaran@example.com</t>
  </si>
  <si>
    <t>08057003872</t>
  </si>
  <si>
    <t>2024-04-22</t>
  </si>
  <si>
    <t>Halima Chukwu</t>
  </si>
  <si>
    <t>halima.chukwu@example.com</t>
  </si>
  <si>
    <t>08056269364</t>
  </si>
  <si>
    <t>2024-06-10</t>
  </si>
  <si>
    <t>Grace Musa</t>
  </si>
  <si>
    <t>grace.musa@example.com</t>
  </si>
  <si>
    <t>08029654179</t>
  </si>
  <si>
    <t>2025-05-07</t>
  </si>
  <si>
    <t>Gbenga Fashola</t>
  </si>
  <si>
    <t>gbenga.fashola@example.com</t>
  </si>
  <si>
    <t>08036037469</t>
  </si>
  <si>
    <t>2025-02-15</t>
  </si>
  <si>
    <t>Musa Adebayo</t>
  </si>
  <si>
    <t>musa.adebayo@example.com</t>
  </si>
  <si>
    <t>08072673436</t>
  </si>
  <si>
    <t>2024-08-12</t>
  </si>
  <si>
    <t>Yemi Musa</t>
  </si>
  <si>
    <t>yemi.musa@example.com</t>
  </si>
  <si>
    <t>08075173622</t>
  </si>
  <si>
    <t>2025-02-04</t>
  </si>
  <si>
    <t>Kemi</t>
  </si>
  <si>
    <t>Kemi Nwachukwu</t>
  </si>
  <si>
    <t>kemi.nwachukwu@example.com</t>
  </si>
  <si>
    <t>08022493209</t>
  </si>
  <si>
    <t>2024-04-20</t>
  </si>
  <si>
    <t>Chidi Nnamdi</t>
  </si>
  <si>
    <t>chidi.nnamdi@example.com</t>
  </si>
  <si>
    <t>08026092081</t>
  </si>
  <si>
    <t>Okonkwo</t>
  </si>
  <si>
    <t>Halima Okonkwo</t>
  </si>
  <si>
    <t>halima.okonkwo@example.com</t>
  </si>
  <si>
    <t>08080278545</t>
  </si>
  <si>
    <t>2024-03-29</t>
  </si>
  <si>
    <t>Chidi Mohammed</t>
  </si>
  <si>
    <t>chidi.mohammed@example.com</t>
  </si>
  <si>
    <t>08088184100</t>
  </si>
  <si>
    <t>2025-02-17</t>
  </si>
  <si>
    <t>Kelechi Adeyemi</t>
  </si>
  <si>
    <t>kelechi.adeyemi@example.com</t>
  </si>
  <si>
    <t>08061580218</t>
  </si>
  <si>
    <t>2025-11-11</t>
  </si>
  <si>
    <t>Kelechi Balogun</t>
  </si>
  <si>
    <t>kelechi.balogun@example.com</t>
  </si>
  <si>
    <t>08088684137</t>
  </si>
  <si>
    <t>2025-10-15</t>
  </si>
  <si>
    <t>Ibrahim Peters</t>
  </si>
  <si>
    <t>ibrahim.peters@example.com</t>
  </si>
  <si>
    <t>08023839721</t>
  </si>
  <si>
    <t>2025-11-22</t>
  </si>
  <si>
    <t>Ijeoma Fashola</t>
  </si>
  <si>
    <t>ijeoma.fashola@example.com</t>
  </si>
  <si>
    <t>08075702314</t>
  </si>
  <si>
    <t>2025-03-03</t>
  </si>
  <si>
    <t>Chiamaka</t>
  </si>
  <si>
    <t>Chiamaka Fashola</t>
  </si>
  <si>
    <t>chiamaka.fashola@example.com</t>
  </si>
  <si>
    <t>08037379664</t>
  </si>
  <si>
    <t>2025-05-08</t>
  </si>
  <si>
    <t>Uche Yusuf</t>
  </si>
  <si>
    <t>uche.yusuf@example.com</t>
  </si>
  <si>
    <t>08057411732</t>
  </si>
  <si>
    <t>2025-01-13</t>
  </si>
  <si>
    <t>Ibrahim Obi</t>
  </si>
  <si>
    <t>ibrahim.obi@example.com</t>
  </si>
  <si>
    <t>08047476586</t>
  </si>
  <si>
    <t>2025-11-01</t>
  </si>
  <si>
    <t>Musa Obi</t>
  </si>
  <si>
    <t>musa.obi@example.com</t>
  </si>
  <si>
    <t>08014785099</t>
  </si>
  <si>
    <t>2024-03-13</t>
  </si>
  <si>
    <t>Blessing Ibrahim</t>
  </si>
  <si>
    <t>blessing.ibrahim@example.com</t>
  </si>
  <si>
    <t>08026304774</t>
  </si>
  <si>
    <t>2025-07-19</t>
  </si>
  <si>
    <t>CUS-2054</t>
  </si>
  <si>
    <t>Blessing Oyelaran</t>
  </si>
  <si>
    <t>blessing.oyelaran@example.com</t>
  </si>
  <si>
    <t>08022188119</t>
  </si>
  <si>
    <t>2024-01-23</t>
  </si>
  <si>
    <t>Nneka Iheanacho</t>
  </si>
  <si>
    <t>nneka.iheanacho@example.com</t>
  </si>
  <si>
    <t>08015918233</t>
  </si>
  <si>
    <t>2024-01-31</t>
  </si>
  <si>
    <t>Uche Danjuma</t>
  </si>
  <si>
    <t>uche.danjuma@example.com</t>
  </si>
  <si>
    <t>08077199564</t>
  </si>
  <si>
    <t>2025-05-30</t>
  </si>
  <si>
    <t>Bola Musa</t>
  </si>
  <si>
    <t>bola.musa@example.com</t>
  </si>
  <si>
    <t>08027371018</t>
  </si>
  <si>
    <t>2024-06-19</t>
  </si>
  <si>
    <t>Ibrahim Ogunleye</t>
  </si>
  <si>
    <t>ibrahim.ogunleye@example.com</t>
  </si>
  <si>
    <t>08093523899</t>
  </si>
  <si>
    <t>2024-10-08</t>
  </si>
  <si>
    <t>Bashir Ibrahim</t>
  </si>
  <si>
    <t>bashir.ibrahim@example.com</t>
  </si>
  <si>
    <t>08022217498</t>
  </si>
  <si>
    <t>2025-06-04</t>
  </si>
  <si>
    <t>Ijeoma Obi</t>
  </si>
  <si>
    <t>ijeoma.obi@example.com</t>
  </si>
  <si>
    <t>2025-02-01</t>
  </si>
  <si>
    <t>Kunle</t>
  </si>
  <si>
    <t>Kunle Jibril</t>
  </si>
  <si>
    <t>kunle.jibril@example.com</t>
  </si>
  <si>
    <t>08055248603</t>
  </si>
  <si>
    <t>08098734101</t>
  </si>
  <si>
    <t>2025-10-07</t>
  </si>
  <si>
    <t>Efe Musa</t>
  </si>
  <si>
    <t>efe.musa@example.com</t>
  </si>
  <si>
    <t>08066818941</t>
  </si>
  <si>
    <t>2025-08-14</t>
  </si>
  <si>
    <t>Ijeoma Jibril</t>
  </si>
  <si>
    <t>ijeoma.jibril@example.com</t>
  </si>
  <si>
    <t>08041809477</t>
  </si>
  <si>
    <t>2024-11-13</t>
  </si>
  <si>
    <t>Femi Eze</t>
  </si>
  <si>
    <t>femi.eze@example.com</t>
  </si>
  <si>
    <t>08055934731</t>
  </si>
  <si>
    <t>2025-06-11</t>
  </si>
  <si>
    <t>Yemi Sanni</t>
  </si>
  <si>
    <t>yemi.sanni@example.com</t>
  </si>
  <si>
    <t>08023171185</t>
  </si>
  <si>
    <t>2024-03-01</t>
  </si>
  <si>
    <t>Emeka Fashola</t>
  </si>
  <si>
    <t>emeka.fashola@example.com</t>
  </si>
  <si>
    <t>08044570204</t>
  </si>
  <si>
    <t>2025-06-18</t>
  </si>
  <si>
    <t>08083952307</t>
  </si>
  <si>
    <t>2024-03-30</t>
  </si>
  <si>
    <t>Femi Umeh</t>
  </si>
  <si>
    <t>femi.umeh@example.com</t>
  </si>
  <si>
    <t>08029356837</t>
  </si>
  <si>
    <t>2024-04-26</t>
  </si>
  <si>
    <t>08050918254</t>
  </si>
  <si>
    <t>2024-09-10</t>
  </si>
  <si>
    <t>08046519145</t>
  </si>
  <si>
    <t>2025-07-10</t>
  </si>
  <si>
    <t>Sadiq Obi</t>
  </si>
  <si>
    <t>sadiq.obi@example.com</t>
  </si>
  <si>
    <t>08092985892</t>
  </si>
  <si>
    <t>2025-11-04</t>
  </si>
  <si>
    <t>Chinelo Lawal</t>
  </si>
  <si>
    <t>chinelo.lawal@example.com</t>
  </si>
  <si>
    <t>08011305086</t>
  </si>
  <si>
    <t>2024-10-20</t>
  </si>
  <si>
    <t>Temitope Okonkwo</t>
  </si>
  <si>
    <t>temitope.okonkwo@example.com</t>
  </si>
  <si>
    <t>2025-06-21</t>
  </si>
  <si>
    <t>Blessing Sanni</t>
  </si>
  <si>
    <t>blessing.sanni@example.com</t>
  </si>
  <si>
    <t>08082605690</t>
  </si>
  <si>
    <t>2024-10-29</t>
  </si>
  <si>
    <t>revenue</t>
  </si>
  <si>
    <t>Profit_ngn</t>
  </si>
  <si>
    <t>Row Labels</t>
  </si>
  <si>
    <t>Unknown customer</t>
  </si>
  <si>
    <t>Grand Total</t>
  </si>
  <si>
    <t>Sum of revenue</t>
  </si>
  <si>
    <t>Sum of Profit_ngn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</si>
  <si>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</si>
  <si>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</si>
  <si>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</si>
  <si>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</si>
  <si>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</si>
  <si>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</si>
  <si>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</si>
  <si>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</si>
  <si>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</si>
  <si>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</si>
  <si>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</si>
  <si>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</si>
  <si>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</si>
  <si>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order_id</t>
  </si>
  <si>
    <t>customers_orders</t>
  </si>
  <si>
    <t>Month</t>
  </si>
  <si>
    <t>Profit margin</t>
  </si>
  <si>
    <t>Average order value</t>
  </si>
  <si>
    <t>Total unit</t>
  </si>
  <si>
    <t>Largest order</t>
  </si>
  <si>
    <t>First order date</t>
  </si>
  <si>
    <t>Number of order</t>
  </si>
  <si>
    <t>Total profit</t>
  </si>
  <si>
    <t>Total revenue</t>
  </si>
  <si>
    <t>Last order date</t>
  </si>
  <si>
    <t>Lagos Revenue</t>
  </si>
  <si>
    <t>Lagos share</t>
  </si>
  <si>
    <t>2025 Sales Performance</t>
  </si>
  <si>
    <t>FULL 2025   .   Data as at 6 January 2026</t>
  </si>
  <si>
    <t>TOTAL REVENUE</t>
  </si>
  <si>
    <t>TOTAL PROFIT</t>
  </si>
  <si>
    <t>AVERAGE ORDER VALUE</t>
  </si>
  <si>
    <t>TOTAL UNIT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</si>
</sst>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yyyy\-mm\-dd"/>
    <numFmt numFmtId="165" formatCode="0.0%"/>
    <numFmt numFmtId="166" formatCode="yyyy\-mm\-dd;@"/>
    <numFmt numFmtId="167" formatCode="&quot;£&quot;#,##0.00"/>
    <numFmt numFmtId="168" formatCode="_-[$₦-466]\ * #,##0.00_-;\-[$₦-466]\ * #,##0.00_-;_-[$₦-466]\ * &quot;-&quot;??_-;_-@_-"/>
  </numFmts>
  <fonts count="28" x14ac:knownFonts="1">
    <font>
      <sz val="11"/>
      <color theme="1"/>
      <name val="Calibri"/>
      <family val="2"/>
      <charset val="1"/>
    </font>
    <font>
      <b/>
      <sz val="15"/>
      <color rgb="FF0E2A47"/>
      <name val="Arial"/>
      <family val="2"/>
    </font>
    <font>
      <b/>
      <sz val="12"/>
      <color rgb="FF12507E"/>
      <name val="Arial"/>
      <family val="2"/>
    </font>
    <font>
      <sz val="10"/>
      <color rgb="FF17242E"/>
      <name val="Arial"/>
      <family val="2"/>
    </font>
    <font>
      <sz val="11"/>
      <color rgb="FF17242E"/>
      <name val="Arial"/>
      <family val="2"/>
    </font>
    <font>
      <sz val="11"/>
      <color rgb="FF5A6B7B"/>
      <name val="Arial"/>
      <family val="2"/>
    </font>
    <font>
      <b/>
      <sz val="12"/>
      <color rgb="FFC0392B"/>
      <name val="Arial"/>
      <family val="2"/>
    </font>
    <font>
      <b/>
      <sz val="11"/>
      <color rgb="FFC0392B"/>
      <name val="Arial"/>
      <family val="2"/>
    </font>
    <font>
      <b/>
      <sz val="10"/>
      <color rgb="FF5A6B7B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color rgb="FF0E2A47"/>
      <name val="Arial"/>
      <family val="2"/>
    </font>
    <font>
      <b/>
      <sz val="11"/>
      <color rgb="FF12507E"/>
      <name val="Arial"/>
      <family val="2"/>
    </font>
    <font>
      <b/>
      <sz val="10"/>
      <name val="Arial"/>
      <family val="2"/>
    </font>
    <font>
      <b/>
      <i/>
      <sz val="10"/>
      <color rgb="FFC0392B"/>
      <name val="Arial"/>
      <family val="2"/>
    </font>
    <font>
      <b/>
      <sz val="14"/>
      <color rgb="FF0E2A47"/>
      <name val="Arial"/>
      <family val="2"/>
    </font>
    <font>
      <i/>
      <sz val="10"/>
      <color rgb="FF1C7293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C0392B"/>
      <name val="Arial"/>
      <family val="2"/>
    </font>
    <font>
      <sz val="10"/>
      <color rgb="FF5A6B7B"/>
      <name val="Arial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i/>
      <sz val="10"/>
      <color theme="0" tint="-0.499984740745262"/>
      <name val="Calibri"/>
      <family val="2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2507E"/>
        <bgColor rgb="FF1C7293"/>
      </patternFill>
    </fill>
    <fill>
      <patternFill patternType="solid">
        <fgColor rgb="FFFFFDF5"/>
        <bgColor rgb="FFFFFFFF"/>
      </patternFill>
    </fill>
    <fill>
      <patternFill patternType="solid">
        <fgColor rgb="FF12507E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D8E1E9"/>
      </left>
      <right style="thin">
        <color rgb="FFD8E1E9"/>
      </right>
      <top style="thin">
        <color rgb="FFD8E1E9"/>
      </top>
      <bottom style="thin">
        <color rgb="FFD8E1E9"/>
      </bottom>
      <diagonal/>
    </border>
    <border>
      <left style="thin">
        <color rgb="FFD8E1E9"/>
      </left>
      <right style="thin">
        <color rgb="FFD8E1E9"/>
      </right>
      <top style="thin">
        <color rgb="FFD8E1E9"/>
      </top>
      <bottom style="thin">
        <color rgb="FFD8E1E9"/>
      </bottom>
      <diagonal/>
    </border>
    <border>
      <left style="thin">
        <color rgb="FFD8E1E9"/>
      </left>
      <right style="thin">
        <color rgb="FFD8E1E9"/>
      </right>
      <top style="thin">
        <color rgb="FFD8E1E9"/>
      </top>
      <bottom/>
      <diagonal/>
    </border>
    <border>
      <left style="thin">
        <color rgb="FFD8E1E9"/>
      </left>
      <right style="thin">
        <color rgb="FFD8E1E9"/>
      </right>
      <top/>
      <bottom style="thin">
        <color rgb="FFD8E1E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10" fillId="0" borderId="1" xfId="0" applyFont="1" applyBorder="1"/>
    <xf numFmtId="164" fontId="10" fillId="0" borderId="1" xfId="0" applyNumberFormat="1" applyFont="1" applyBorder="1"/>
    <xf numFmtId="9" fontId="10" fillId="0" borderId="1" xfId="0" applyNumberFormat="1" applyFont="1" applyBorder="1"/>
    <xf numFmtId="0" fontId="11" fillId="0" borderId="0" xfId="0" applyFont="1"/>
    <xf numFmtId="3" fontId="10" fillId="0" borderId="1" xfId="0" applyNumberFormat="1" applyFont="1" applyBorder="1"/>
    <xf numFmtId="0" fontId="12" fillId="0" borderId="0" xfId="0" applyFont="1"/>
    <xf numFmtId="165" fontId="13" fillId="0" borderId="1" xfId="0" applyNumberFormat="1" applyFont="1" applyBorder="1"/>
    <xf numFmtId="3" fontId="13" fillId="0" borderId="1" xfId="0" applyNumberFormat="1" applyFont="1" applyBorder="1"/>
    <xf numFmtId="1" fontId="13" fillId="0" borderId="1" xfId="0" applyNumberFormat="1" applyFont="1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9" fillId="0" borderId="0" xfId="0" applyFont="1"/>
    <xf numFmtId="0" fontId="20" fillId="0" borderId="0" xfId="0" applyFont="1"/>
    <xf numFmtId="0" fontId="17" fillId="4" borderId="0" xfId="0" applyFont="1" applyFill="1"/>
    <xf numFmtId="0" fontId="18" fillId="0" borderId="2" xfId="0" applyFont="1" applyBorder="1"/>
    <xf numFmtId="0" fontId="10" fillId="0" borderId="2" xfId="0" applyFont="1" applyBorder="1"/>
    <xf numFmtId="0" fontId="10" fillId="0" borderId="3" xfId="0" applyFont="1" applyBorder="1"/>
    <xf numFmtId="164" fontId="10" fillId="0" borderId="3" xfId="0" applyNumberFormat="1" applyFont="1" applyBorder="1"/>
    <xf numFmtId="9" fontId="10" fillId="0" borderId="3" xfId="0" applyNumberFormat="1" applyFont="1" applyBorder="1"/>
    <xf numFmtId="0" fontId="18" fillId="0" borderId="3" xfId="0" applyFont="1" applyBorder="1"/>
    <xf numFmtId="0" fontId="10" fillId="0" borderId="4" xfId="0" applyFont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0" fontId="0" fillId="0" borderId="0" xfId="0" applyNumberFormat="1"/>
    <xf numFmtId="0" fontId="22" fillId="0" borderId="4" xfId="0" applyFont="1" applyBorder="1"/>
    <xf numFmtId="0" fontId="23" fillId="2" borderId="0" xfId="0" applyFont="1" applyFill="1"/>
    <xf numFmtId="0" fontId="22" fillId="0" borderId="2" xfId="0" applyFont="1" applyBorder="1"/>
    <xf numFmtId="0" fontId="22" fillId="0" borderId="3" xfId="0" applyFont="1" applyBorder="1"/>
    <xf numFmtId="166" fontId="0" fillId="0" borderId="0" xfId="0" applyNumberFormat="1"/>
    <xf numFmtId="167" fontId="0" fillId="0" borderId="0" xfId="0" applyNumberFormat="1"/>
    <xf numFmtId="9" fontId="0" fillId="0" borderId="0" xfId="2" applyFont="1"/>
    <xf numFmtId="168" fontId="0" fillId="0" borderId="0" xfId="0" applyNumberFormat="1"/>
    <xf numFmtId="168" fontId="0" fillId="0" borderId="0" xfId="1" applyNumberFormat="1" applyFont="1"/>
    <xf numFmtId="0" fontId="25" fillId="0" borderId="0" xfId="0" applyFont="1"/>
    <xf numFmtId="0" fontId="26" fillId="0" borderId="0" xfId="0" applyFont="1"/>
    <xf numFmtId="0" fontId="0" fillId="5" borderId="6" xfId="0" applyFill="1" applyBorder="1"/>
    <xf numFmtId="0" fontId="0" fillId="5" borderId="7" xfId="0" applyFill="1" applyBorder="1"/>
    <xf numFmtId="0" fontId="0" fillId="5" borderId="0" xfId="0" applyFill="1"/>
    <xf numFmtId="0" fontId="0" fillId="5" borderId="9" xfId="0" applyFill="1" applyBorder="1"/>
    <xf numFmtId="0" fontId="27" fillId="5" borderId="5" xfId="0" applyFont="1" applyFill="1" applyBorder="1"/>
    <xf numFmtId="0" fontId="24" fillId="5" borderId="8" xfId="0" applyFont="1" applyFill="1" applyBorder="1"/>
    <xf numFmtId="168" fontId="24" fillId="5" borderId="8" xfId="0" applyNumberFormat="1" applyFont="1" applyFill="1" applyBorder="1"/>
    <xf numFmtId="43" fontId="24" fillId="5" borderId="8" xfId="1" applyFont="1" applyFill="1" applyBorder="1"/>
    <xf numFmtId="0" fontId="12" fillId="0" borderId="0" xfId="0" applyFont="1"/>
    <xf numFmtId="0" fontId="0" fillId="0" borderId="0" xfId="0"/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44">
    <dxf>
      <numFmt numFmtId="168" formatCode="_-[$₦-466]\ * #,##0.00_-;\-[$₦-466]\ * #,##0.00_-;_-[$₦-466]\ * &quot;-&quot;??_-;_-@_-"/>
    </dxf>
    <dxf>
      <numFmt numFmtId="168" formatCode="_-[$₦-466]\ * #,##0.00_-;\-[$₦-466]\ * #,##0.00_-;_-[$₦-466]\ * &quot;-&quot;??_-;_-@_-"/>
    </dxf>
    <dxf>
      <numFmt numFmtId="168" formatCode="_-[$₦-466]\ * #,##0.00_-;\-[$₦-466]\ * #,##0.00_-;_-[$₦-466]\ * &quot;-&quot;??_-;_-@_-"/>
    </dxf>
    <dxf>
      <numFmt numFmtId="168" formatCode="_-[$₦-466]\ * #,##0.00_-;\-[$₦-466]\ * #,##0.00_-;_-[$₦-466]\ * &quot;-&quot;??_-;_-@_-"/>
    </dxf>
    <dxf>
      <numFmt numFmtId="168" formatCode="_-[$₦-466]\ * #,##0.00_-;\-[$₦-466]\ * #,##0.00_-;_-[$₦-466]\ * &quot;-&quot;??_-;_-@_-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3" formatCode="0%"/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yyyy\-mm\-dd"/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border outline="0">
        <bottom style="thin">
          <color rgb="FFD8E1E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1C7293"/>
          <bgColor rgb="FF12507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8E1E9"/>
        </left>
        <right style="thin">
          <color rgb="FFD8E1E9"/>
        </right>
        <top style="thin">
          <color rgb="FFD8E1E9"/>
        </top>
        <bottom style="thin">
          <color rgb="FFD8E1E9"/>
        </bottom>
        <vertical/>
        <horizontal/>
      </border>
    </dxf>
    <dxf>
      <border outline="0">
        <bottom style="thin">
          <color rgb="FFD8E1E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1C7293"/>
          <bgColor rgb="FF12507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C0C0C0"/>
      <rgbColor rgb="FF808080"/>
      <rgbColor rgb="FF9999FF"/>
      <rgbColor rgb="FF993366"/>
      <rgbColor rgb="FFFFFDF5"/>
      <rgbColor rgb="FFCCFFFF"/>
      <rgbColor rgb="FF660066"/>
      <rgbColor rgb="FFFF8080"/>
      <rgbColor rgb="FF0066CC"/>
      <rgbColor rgb="FFD8E1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B"/>
      <rgbColor rgb="FF969696"/>
      <rgbColor rgb="FF0E2A47"/>
      <rgbColor rgb="FF339966"/>
      <rgbColor rgb="FF003300"/>
      <rgbColor rgb="FF333300"/>
      <rgbColor rgb="FFC0392B"/>
      <rgbColor rgb="FF993366"/>
      <rgbColor rgb="FF12507E"/>
      <rgbColor rgb="FF1724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 (Dataset with PivotTable ^0 Slicer).xlsx]PVT 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 1'!$B$1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'PVT 1'!$A$2:$A$6</c:f>
              <c:strCache>
                <c:ptCount val="4"/>
                <c:pt idx="0">
                  <c:v>Corporate</c:v>
                </c:pt>
                <c:pt idx="1">
                  <c:v>Retail</c:v>
                </c:pt>
                <c:pt idx="2">
                  <c:v>Unknown customer</c:v>
                </c:pt>
                <c:pt idx="3">
                  <c:v>Wholesale</c:v>
                </c:pt>
              </c:strCache>
            </c:strRef>
          </c:cat>
          <c:val>
            <c:numRef>
              <c:f>'PVT 1'!$B$2:$B$6</c:f>
              <c:numCache>
                <c:formatCode>General</c:formatCode>
                <c:ptCount val="4"/>
                <c:pt idx="0">
                  <c:v>5434670</c:v>
                </c:pt>
                <c:pt idx="1">
                  <c:v>15012155</c:v>
                </c:pt>
                <c:pt idx="2">
                  <c:v>489000</c:v>
                </c:pt>
                <c:pt idx="3">
                  <c:v>10559100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1-418F-92EF-A4C2F1CF8524}"/>
            </c:ext>
          </c:extLst>
        </c:ser>
        <c:ser>
          <c:idx val="1"/>
          <c:order val="1"/>
          <c:tx>
            <c:strRef>
              <c:f>'PVT 1'!$C$1</c:f>
              <c:strCache>
                <c:ptCount val="1"/>
                <c:pt idx="0">
                  <c:v>Sum of Profit_ngn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'PVT 1'!$A$2:$A$6</c:f>
              <c:strCache>
                <c:ptCount val="4"/>
                <c:pt idx="0">
                  <c:v>Corporate</c:v>
                </c:pt>
                <c:pt idx="1">
                  <c:v>Retail</c:v>
                </c:pt>
                <c:pt idx="2">
                  <c:v>Unknown customer</c:v>
                </c:pt>
                <c:pt idx="3">
                  <c:v>Wholesale</c:v>
                </c:pt>
              </c:strCache>
            </c:strRef>
          </c:cat>
          <c:val>
            <c:numRef>
              <c:f>'PVT 1'!$C$2:$C$6</c:f>
              <c:numCache>
                <c:formatCode>General</c:formatCode>
                <c:ptCount val="4"/>
                <c:pt idx="0">
                  <c:v>1842370</c:v>
                </c:pt>
                <c:pt idx="1">
                  <c:v>4564955</c:v>
                </c:pt>
                <c:pt idx="2">
                  <c:v>152000</c:v>
                </c:pt>
                <c:pt idx="3">
                  <c:v>3217000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D1-418F-92EF-A4C2F1CF8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144959"/>
        <c:axId val="502145439"/>
      </c:barChart>
      <c:catAx>
        <c:axId val="50214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5439"/>
        <c:crosses val="autoZero"/>
        <c:auto val="1"/>
        <c:lblAlgn val="ctr"/>
        <c:lblOffset val="100"/>
        <c:noMultiLvlLbl val="0"/>
      </c:catAx>
      <c:valAx>
        <c:axId val="50214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 (Dataset with PivotTable ^0 Slicer).xlsx]PVT 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 5'!$B$1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'PVT 5'!$A$2:$A$12</c:f>
              <c:strCache>
                <c:ptCount val="10"/>
                <c:pt idx="0">
                  <c:v>Blessing Ibrahim</c:v>
                </c:pt>
                <c:pt idx="1">
                  <c:v>Amaka Bello</c:v>
                </c:pt>
                <c:pt idx="2">
                  <c:v>Yemi Sanni</c:v>
                </c:pt>
                <c:pt idx="3">
                  <c:v>Obinna Oyelaran</c:v>
                </c:pt>
                <c:pt idx="4">
                  <c:v>Ibrahim Peters</c:v>
                </c:pt>
                <c:pt idx="5">
                  <c:v>Lanre Balogun</c:v>
                </c:pt>
                <c:pt idx="6">
                  <c:v>Funmi Musa</c:v>
                </c:pt>
                <c:pt idx="7">
                  <c:v>Gbenga Okafor</c:v>
                </c:pt>
                <c:pt idx="8">
                  <c:v>Jide Umeh</c:v>
                </c:pt>
                <c:pt idx="9">
                  <c:v>Chinelo Lawal</c:v>
                </c:pt>
              </c:strCache>
            </c:strRef>
          </c:cat>
          <c:val>
            <c:numRef>
              <c:f>'PVT 5'!$B$2:$B$12</c:f>
              <c:numCache>
                <c:formatCode>General</c:formatCode>
                <c:ptCount val="10"/>
                <c:pt idx="0">
                  <c:v>1091100</c:v>
                </c:pt>
                <c:pt idx="1">
                  <c:v>1033900</c:v>
                </c:pt>
                <c:pt idx="2">
                  <c:v>956000</c:v>
                </c:pt>
                <c:pt idx="3">
                  <c:v>956000</c:v>
                </c:pt>
                <c:pt idx="4">
                  <c:v>703800</c:v>
                </c:pt>
                <c:pt idx="5">
                  <c:v>667900</c:v>
                </c:pt>
                <c:pt idx="6">
                  <c:v>648500</c:v>
                </c:pt>
                <c:pt idx="7">
                  <c:v>631800</c:v>
                </c:pt>
                <c:pt idx="8">
                  <c:v>603700</c:v>
                </c:pt>
                <c:pt idx="9">
                  <c:v>603500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F-4751-B9C5-49EC9BCD0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98207"/>
        <c:axId val="118790047"/>
      </c:barChart>
      <c:catAx>
        <c:axId val="11879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0047"/>
        <c:crosses val="autoZero"/>
        <c:auto val="1"/>
        <c:lblAlgn val="ctr"/>
        <c:lblOffset val="100"/>
        <c:noMultiLvlLbl val="0"/>
      </c:catAx>
      <c:valAx>
        <c:axId val="11879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 (Dataset with PivotTable ^0 Slicer).xlsx]PVT 6!PivotTable6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 6'!$B$1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'PVT 6'!$A$2:$A$6</c:f>
              <c:strCache>
                <c:ptCount val="4"/>
                <c:pt idx="0">
                  <c:v>Mobile App</c:v>
                </c:pt>
                <c:pt idx="1">
                  <c:v>Phone</c:v>
                </c:pt>
                <c:pt idx="2">
                  <c:v>Walk-in</c:v>
                </c:pt>
                <c:pt idx="3">
                  <c:v>Web</c:v>
                </c:pt>
              </c:strCache>
            </c:strRef>
          </c:cat>
          <c:val>
            <c:numRef>
              <c:f>'PVT 6'!$B$2:$B$6</c:f>
              <c:numCache>
                <c:formatCode>0.00%</c:formatCode>
                <c:ptCount val="4"/>
                <c:pt idx="0">
                  <c:v>0.28325123152709358</c:v>
                </c:pt>
                <c:pt idx="1">
                  <c:v>0.14285714285714285</c:v>
                </c:pt>
                <c:pt idx="2">
                  <c:v>0.25123152709359609</c:v>
                </c:pt>
                <c:pt idx="3">
                  <c:v>0.32266009852216748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0-47EE-9C3B-53917DA7A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164159"/>
        <c:axId val="502149759"/>
      </c:barChart>
      <c:catAx>
        <c:axId val="50216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9759"/>
        <c:crosses val="autoZero"/>
        <c:auto val="1"/>
        <c:lblAlgn val="ctr"/>
        <c:lblOffset val="100"/>
        <c:noMultiLvlLbl val="0"/>
      </c:catAx>
      <c:valAx>
        <c:axId val="50214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6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 (Dataset with PivotTable ^0 Slicer).xlsx]6 PVTs For Dashboard!PivotTable4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'6 PVTs For Dashboard'!$B$36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 PVTs For Dashboard'!$A$37:$A$49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'6 PVTs For Dashboard'!$B$37:$B$49</c:f>
              <c:numCache>
                <c:formatCode>_-[$₦-466]\ * #,##0.00_-;\-[$₦-466]\ * #,##0.00_-;_-[$₦-466]\ * "-"??_-;_-@_-</c:formatCode>
                <c:ptCount val="12"/>
                <c:pt idx="0">
                  <c:v>2933595</c:v>
                </c:pt>
                <c:pt idx="1">
                  <c:v>1782810</c:v>
                </c:pt>
                <c:pt idx="2">
                  <c:v>2504700</c:v>
                </c:pt>
                <c:pt idx="3">
                  <c:v>3004950</c:v>
                </c:pt>
                <c:pt idx="4">
                  <c:v>3064150</c:v>
                </c:pt>
                <c:pt idx="5">
                  <c:v>3193850</c:v>
                </c:pt>
                <c:pt idx="6">
                  <c:v>2117250</c:v>
                </c:pt>
                <c:pt idx="7">
                  <c:v>2738230</c:v>
                </c:pt>
                <c:pt idx="8">
                  <c:v>860650</c:v>
                </c:pt>
                <c:pt idx="9">
                  <c:v>3174045</c:v>
                </c:pt>
                <c:pt idx="10">
                  <c:v>3201295</c:v>
                </c:pt>
                <c:pt idx="11">
                  <c:v>2919400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4-4A81-8976-CF1A5EBB4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91791"/>
        <c:axId val="118083631"/>
      </c:lineChart>
      <c:catAx>
        <c:axId val="11809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83631"/>
        <c:crosses val="autoZero"/>
        <c:auto val="1"/>
        <c:lblAlgn val="ctr"/>
        <c:lblOffset val="100"/>
        <c:noMultiLvlLbl val="0"/>
      </c:catAx>
      <c:valAx>
        <c:axId val="11808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66]\ * #,##0.00_-;\-[$₦-466]\ * #,##0.00_-;_-[$₦-46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 (Dataset with PivotTable ^0 Slicer).xlsx]6 PVTs For Dashboard!PivotTable2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 PVTs For Dashboard'!$B$10:$B$11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 PVTs For Dashboard'!$A$12:$A$17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'6 PVTs For Dashboard'!$B$12:$B$17</c:f>
              <c:numCache>
                <c:formatCode>_-[$₦-466]\ * #,##0.00_-;\-[$₦-466]\ * #,##0.00_-;_-[$₦-466]\ * "-"??_-;_-@_-</c:formatCode>
                <c:ptCount val="5"/>
                <c:pt idx="0">
                  <c:v>285600</c:v>
                </c:pt>
                <c:pt idx="2">
                  <c:v>13600</c:v>
                </c:pt>
                <c:pt idx="3">
                  <c:v>321980</c:v>
                </c:pt>
                <c:pt idx="4">
                  <c:v>61200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E-4BB2-B9C7-4853F8692139}"/>
            </c:ext>
          </c:extLst>
        </c:ser>
        <c:ser>
          <c:idx val="1"/>
          <c:order val="1"/>
          <c:tx>
            <c:strRef>
              <c:f>'6 PVTs For Dashboard'!$C$10:$C$11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 PVTs For Dashboard'!$A$12:$A$17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'6 PVTs For Dashboard'!$C$12:$C$17</c:f>
              <c:numCache>
                <c:formatCode>_-[$₦-466]\ * #,##0.00_-;\-[$₦-466]\ * #,##0.00_-;_-[$₦-466]\ * "-"??_-;_-@_-</c:formatCode>
                <c:ptCount val="5"/>
                <c:pt idx="0">
                  <c:v>836900</c:v>
                </c:pt>
                <c:pt idx="1">
                  <c:v>1257300</c:v>
                </c:pt>
                <c:pt idx="2">
                  <c:v>1174900</c:v>
                </c:pt>
                <c:pt idx="3">
                  <c:v>2413875</c:v>
                </c:pt>
                <c:pt idx="4">
                  <c:v>717350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E8-4B1B-8AA8-50139BF945AA}"/>
            </c:ext>
          </c:extLst>
        </c:ser>
        <c:ser>
          <c:idx val="2"/>
          <c:order val="2"/>
          <c:tx>
            <c:strRef>
              <c:f>'6 PVTs For Dashboard'!$D$10:$D$11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 PVTs For Dashboard'!$A$12:$A$17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'6 PVTs For Dashboard'!$D$12:$D$17</c:f>
              <c:numCache>
                <c:formatCode>_-[$₦-466]\ * #,##0.00_-;\-[$₦-466]\ * #,##0.00_-;_-[$₦-466]\ * "-"??_-;_-@_-</c:formatCode>
                <c:ptCount val="5"/>
                <c:pt idx="0">
                  <c:v>1913625</c:v>
                </c:pt>
                <c:pt idx="1">
                  <c:v>723750</c:v>
                </c:pt>
                <c:pt idx="2">
                  <c:v>650150</c:v>
                </c:pt>
                <c:pt idx="3">
                  <c:v>3068250</c:v>
                </c:pt>
                <c:pt idx="4">
                  <c:v>1663625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E8-4B1B-8AA8-50139BF945AA}"/>
            </c:ext>
          </c:extLst>
        </c:ser>
        <c:ser>
          <c:idx val="3"/>
          <c:order val="3"/>
          <c:tx>
            <c:strRef>
              <c:f>'6 PVTs For Dashboard'!$E$10:$E$11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 PVTs For Dashboard'!$A$12:$A$17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'6 PVTs For Dashboard'!$E$12:$E$17</c:f>
              <c:numCache>
                <c:formatCode>_-[$₦-466]\ * #,##0.00_-;\-[$₦-466]\ * #,##0.00_-;_-[$₦-466]\ * "-"??_-;_-@_-</c:formatCode>
                <c:ptCount val="5"/>
                <c:pt idx="0">
                  <c:v>2057620</c:v>
                </c:pt>
                <c:pt idx="1">
                  <c:v>1023200</c:v>
                </c:pt>
                <c:pt idx="2">
                  <c:v>837500</c:v>
                </c:pt>
                <c:pt idx="3">
                  <c:v>3188240</c:v>
                </c:pt>
                <c:pt idx="4">
                  <c:v>1328660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E8-4B1B-8AA8-50139BF945AA}"/>
            </c:ext>
          </c:extLst>
        </c:ser>
        <c:ser>
          <c:idx val="4"/>
          <c:order val="4"/>
          <c:tx>
            <c:strRef>
              <c:f>'6 PVTs For Dashboard'!$F$10:$F$11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 PVTs For Dashboard'!$A$12:$A$17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'6 PVTs For Dashboard'!$F$12:$F$17</c:f>
              <c:numCache>
                <c:formatCode>_-[$₦-466]\ * #,##0.00_-;\-[$₦-466]\ * #,##0.00_-;_-[$₦-466]\ * "-"??_-;_-@_-</c:formatCode>
                <c:ptCount val="5"/>
                <c:pt idx="0">
                  <c:v>422400</c:v>
                </c:pt>
                <c:pt idx="1">
                  <c:v>404800</c:v>
                </c:pt>
                <c:pt idx="2">
                  <c:v>832000</c:v>
                </c:pt>
                <c:pt idx="3">
                  <c:v>1803200</c:v>
                </c:pt>
                <c:pt idx="4">
                  <c:v>579200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E8-4B1B-8AA8-50139BF945AA}"/>
            </c:ext>
          </c:extLst>
        </c:ser>
        <c:ser>
          <c:idx val="5"/>
          <c:order val="5"/>
          <c:tx>
            <c:strRef>
              <c:f>'6 PVTs For Dashboard'!$G$10:$G$11</c:f>
              <c:strCache>
                <c:ptCount val="1"/>
                <c:pt idx="0">
                  <c:v>Textiles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'6 PVTs For Dashboard'!$A$12:$A$17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'6 PVTs For Dashboard'!$G$12:$G$17</c:f>
              <c:numCache>
                <c:formatCode>_-[$₦-466]\ * #,##0.00_-;\-[$₦-466]\ * #,##0.00_-;_-[$₦-466]\ * "-"??_-;_-@_-</c:formatCode>
                <c:ptCount val="5"/>
                <c:pt idx="0">
                  <c:v>428000</c:v>
                </c:pt>
                <c:pt idx="1">
                  <c:v>914600</c:v>
                </c:pt>
                <c:pt idx="2">
                  <c:v>297200</c:v>
                </c:pt>
                <c:pt idx="3">
                  <c:v>1462000</c:v>
                </c:pt>
                <c:pt idx="4">
                  <c:v>814200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E8-4B1B-8AA8-50139BF94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4966543"/>
        <c:axId val="2024952623"/>
      </c:barChart>
      <c:catAx>
        <c:axId val="202496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52623"/>
        <c:crosses val="autoZero"/>
        <c:auto val="1"/>
        <c:lblAlgn val="ctr"/>
        <c:lblOffset val="100"/>
        <c:noMultiLvlLbl val="0"/>
      </c:catAx>
      <c:valAx>
        <c:axId val="202495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66]\ * #,##0.00_-;\-[$₦-466]\ * #,##0.00_-;_-[$₦-46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6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 (Dataset with PivotTable ^0 Slicer).xlsx]6 PVTs For Dashboard!PivotTable3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Ten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 PVTs For Dashboard'!$B$21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 PVTs For Dashboard'!$A$22:$A$32</c:f>
              <c:strCache>
                <c:ptCount val="10"/>
                <c:pt idx="0">
                  <c:v>Ankle Boots</c:v>
                </c:pt>
                <c:pt idx="1">
                  <c:v>Sneakers</c:v>
                </c:pt>
                <c:pt idx="2">
                  <c:v>Rice 25kg</c:v>
                </c:pt>
                <c:pt idx="3">
                  <c:v>Wireless Earbuds</c:v>
                </c:pt>
                <c:pt idx="4">
                  <c:v>Lace Material 5yd</c:v>
                </c:pt>
                <c:pt idx="5">
                  <c:v>LED Ring Light</c:v>
                </c:pt>
                <c:pt idx="6">
                  <c:v>Blender 1.5L</c:v>
                </c:pt>
                <c:pt idx="7">
                  <c:v>Bedsheet Set</c:v>
                </c:pt>
                <c:pt idx="8">
                  <c:v>Power Bank 20000mAh</c:v>
                </c:pt>
                <c:pt idx="9">
                  <c:v>Ankara Fabric 6yd</c:v>
                </c:pt>
              </c:strCache>
            </c:strRef>
          </c:cat>
          <c:val>
            <c:numRef>
              <c:f>'6 PVTs For Dashboard'!$B$22:$B$32</c:f>
              <c:numCache>
                <c:formatCode>_-[$₦-466]\ * #,##0.00_-;\-[$₦-466]\ * #,##0.00_-;_-[$₦-466]\ * "-"??_-;_-@_-</c:formatCode>
                <c:ptCount val="10"/>
                <c:pt idx="0">
                  <c:v>1732150</c:v>
                </c:pt>
                <c:pt idx="1">
                  <c:v>1350250</c:v>
                </c:pt>
                <c:pt idx="2">
                  <c:v>1104300</c:v>
                </c:pt>
                <c:pt idx="3">
                  <c:v>1046325</c:v>
                </c:pt>
                <c:pt idx="4">
                  <c:v>1023700</c:v>
                </c:pt>
                <c:pt idx="5">
                  <c:v>821300</c:v>
                </c:pt>
                <c:pt idx="6">
                  <c:v>755400</c:v>
                </c:pt>
                <c:pt idx="7">
                  <c:v>707700</c:v>
                </c:pt>
                <c:pt idx="8">
                  <c:v>413800</c:v>
                </c:pt>
                <c:pt idx="9">
                  <c:v>327600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F54-AFF2-79E3178CD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9164879"/>
        <c:axId val="2139161999"/>
      </c:barChart>
      <c:catAx>
        <c:axId val="213916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161999"/>
        <c:crosses val="autoZero"/>
        <c:auto val="1"/>
        <c:lblAlgn val="ctr"/>
        <c:lblOffset val="100"/>
        <c:noMultiLvlLbl val="0"/>
      </c:catAx>
      <c:valAx>
        <c:axId val="213916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66]\ * #,##0.00_-;\-[$₦-466]\ * #,##0.00_-;_-[$₦-46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16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 (Dataset with PivotTable ^0 Slicer).xlsx]PVT 1!PivotTable1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 1'!$B$1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'PVT 1'!$A$2:$A$6</c:f>
              <c:strCache>
                <c:ptCount val="4"/>
                <c:pt idx="0">
                  <c:v>Corporate</c:v>
                </c:pt>
                <c:pt idx="1">
                  <c:v>Retail</c:v>
                </c:pt>
                <c:pt idx="2">
                  <c:v>Unknown customer</c:v>
                </c:pt>
                <c:pt idx="3">
                  <c:v>Wholesale</c:v>
                </c:pt>
              </c:strCache>
            </c:strRef>
          </c:cat>
          <c:val>
            <c:numRef>
              <c:f>'PVT 1'!$B$2:$B$6</c:f>
              <c:numCache>
                <c:formatCode>General</c:formatCode>
                <c:ptCount val="4"/>
                <c:pt idx="0">
                  <c:v>5434670</c:v>
                </c:pt>
                <c:pt idx="1">
                  <c:v>15012155</c:v>
                </c:pt>
                <c:pt idx="2">
                  <c:v>489000</c:v>
                </c:pt>
                <c:pt idx="3">
                  <c:v>10559100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B-446B-8932-2645A968EF95}"/>
            </c:ext>
          </c:extLst>
        </c:ser>
        <c:ser>
          <c:idx val="1"/>
          <c:order val="1"/>
          <c:tx>
            <c:strRef>
              <c:f>'PVT 1'!$C$1</c:f>
              <c:strCache>
                <c:ptCount val="1"/>
                <c:pt idx="0">
                  <c:v>Sum of Profit_ngn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'PVT 1'!$A$2:$A$6</c:f>
              <c:strCache>
                <c:ptCount val="4"/>
                <c:pt idx="0">
                  <c:v>Corporate</c:v>
                </c:pt>
                <c:pt idx="1">
                  <c:v>Retail</c:v>
                </c:pt>
                <c:pt idx="2">
                  <c:v>Unknown customer</c:v>
                </c:pt>
                <c:pt idx="3">
                  <c:v>Wholesale</c:v>
                </c:pt>
              </c:strCache>
            </c:strRef>
          </c:cat>
          <c:val>
            <c:numRef>
              <c:f>'PVT 1'!$C$2:$C$6</c:f>
              <c:numCache>
                <c:formatCode>General</c:formatCode>
                <c:ptCount val="4"/>
                <c:pt idx="0">
                  <c:v>1842370</c:v>
                </c:pt>
                <c:pt idx="1">
                  <c:v>4564955</c:v>
                </c:pt>
                <c:pt idx="2">
                  <c:v>152000</c:v>
                </c:pt>
                <c:pt idx="3">
                  <c:v>3217000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B-446B-8932-2645A968E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144959"/>
        <c:axId val="502145439"/>
      </c:barChart>
      <c:catAx>
        <c:axId val="50214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5439"/>
        <c:crosses val="autoZero"/>
        <c:auto val="1"/>
        <c:lblAlgn val="ctr"/>
        <c:lblOffset val="100"/>
        <c:noMultiLvlLbl val="0"/>
      </c:catAx>
      <c:valAx>
        <c:axId val="50214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 (Dataset with PivotTable ^0 Slicer).xlsx]PVT 6!PivotTable6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 6'!$B$1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'PVT 6'!$A$2:$A$6</c:f>
              <c:strCache>
                <c:ptCount val="4"/>
                <c:pt idx="0">
                  <c:v>Mobile App</c:v>
                </c:pt>
                <c:pt idx="1">
                  <c:v>Phone</c:v>
                </c:pt>
                <c:pt idx="2">
                  <c:v>Walk-in</c:v>
                </c:pt>
                <c:pt idx="3">
                  <c:v>Web</c:v>
                </c:pt>
              </c:strCache>
            </c:strRef>
          </c:cat>
          <c:val>
            <c:numRef>
              <c:f>'PVT 6'!$B$2:$B$6</c:f>
              <c:numCache>
                <c:formatCode>0.00%</c:formatCode>
                <c:ptCount val="4"/>
                <c:pt idx="0">
                  <c:v>0.28325123152709358</c:v>
                </c:pt>
                <c:pt idx="1">
                  <c:v>0.14285714285714285</c:v>
                </c:pt>
                <c:pt idx="2">
                  <c:v>0.25123152709359609</c:v>
                </c:pt>
                <c:pt idx="3">
                  <c:v>0.32266009852216748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C-4285-BA67-DD4EB60DD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164159"/>
        <c:axId val="502149759"/>
      </c:barChart>
      <c:catAx>
        <c:axId val="50216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49759"/>
        <c:crosses val="autoZero"/>
        <c:auto val="1"/>
        <c:lblAlgn val="ctr"/>
        <c:lblOffset val="100"/>
        <c:noMultiLvlLbl val="0"/>
      </c:catAx>
      <c:valAx>
        <c:axId val="50214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6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[Excel_Sales_Dashboard (Dataset with PivotTable ^0 Slicer).xlsx]PVT 5!PivotTable5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Ten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 5'!$B$1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'PVT 5'!$A$2:$A$12</c:f>
              <c:strCache>
                <c:ptCount val="10"/>
                <c:pt idx="0">
                  <c:v>Blessing Ibrahim</c:v>
                </c:pt>
                <c:pt idx="1">
                  <c:v>Amaka Bello</c:v>
                </c:pt>
                <c:pt idx="2">
                  <c:v>Yemi Sanni</c:v>
                </c:pt>
                <c:pt idx="3">
                  <c:v>Obinna Oyelaran</c:v>
                </c:pt>
                <c:pt idx="4">
                  <c:v>Ibrahim Peters</c:v>
                </c:pt>
                <c:pt idx="5">
                  <c:v>Lanre Balogun</c:v>
                </c:pt>
                <c:pt idx="6">
                  <c:v>Funmi Musa</c:v>
                </c:pt>
                <c:pt idx="7">
                  <c:v>Gbenga Okafor</c:v>
                </c:pt>
                <c:pt idx="8">
                  <c:v>Jide Umeh</c:v>
                </c:pt>
                <c:pt idx="9">
                  <c:v>Chinelo Lawal</c:v>
                </c:pt>
              </c:strCache>
            </c:strRef>
          </c:cat>
          <c:val>
            <c:numRef>
              <c:f>'PVT 5'!$B$2:$B$12</c:f>
              <c:numCache>
                <c:formatCode>General</c:formatCode>
                <c:ptCount val="10"/>
                <c:pt idx="0">
                  <c:v>1091100</c:v>
                </c:pt>
                <c:pt idx="1">
                  <c:v>1033900</c:v>
                </c:pt>
                <c:pt idx="2">
                  <c:v>956000</c:v>
                </c:pt>
                <c:pt idx="3">
                  <c:v>956000</c:v>
                </c:pt>
                <c:pt idx="4">
                  <c:v>703800</c:v>
                </c:pt>
                <c:pt idx="5">
                  <c:v>667900</c:v>
                </c:pt>
                <c:pt idx="6">
                  <c:v>648500</c:v>
                </c:pt>
                <c:pt idx="7">
                  <c:v>631800</c:v>
                </c:pt>
                <c:pt idx="8">
                  <c:v>603700</c:v>
                </c:pt>
                <c:pt idx="9">
                  <c:v>603500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F-493E-B6D6-87C6604F7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98207"/>
        <c:axId val="118790047"/>
      </c:barChart>
      <c:catAx>
        <c:axId val="11879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0047"/>
        <c:crosses val="autoZero"/>
        <c:auto val="1"/>
        <c:lblAlgn val="ctr"/>
        <c:lblOffset val="100"/>
        <c:noMultiLvlLbl val="0"/>
      </c:catAx>
      <c:valAx>
        <c:axId val="11879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3</xdr:row>
      <xdr:rowOff>90487</xdr:rowOff>
    </xdr:from>
    <xdr:to>
      <xdr:col>11</xdr:col>
      <xdr:colOff>304800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55C7BD-28B1-2ABA-486E-55938D231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3</xdr:row>
      <xdr:rowOff>90487</xdr:rowOff>
    </xdr:from>
    <xdr:to>
      <xdr:col>12</xdr:col>
      <xdr:colOff>390525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246FF-8CEA-4916-2439-73E0E4ADE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176212</xdr:rowOff>
    </xdr:from>
    <xdr:to>
      <xdr:col>10</xdr:col>
      <xdr:colOff>323850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C854D-33B5-F861-4738-F726C0CB8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14</xdr:col>
      <xdr:colOff>47625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D97E1-A387-4CB4-B93F-F95F0D752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247649</xdr:colOff>
      <xdr:row>25</xdr:row>
      <xdr:rowOff>95250</xdr:rowOff>
    </xdr:from>
    <xdr:to>
      <xdr:col>14</xdr:col>
      <xdr:colOff>19049</xdr:colOff>
      <xdr:row>39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9D1708-C72D-4D31-B67B-9D06CFAA6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247649</xdr:colOff>
      <xdr:row>41</xdr:row>
      <xdr:rowOff>104775</xdr:rowOff>
    </xdr:from>
    <xdr:to>
      <xdr:col>14</xdr:col>
      <xdr:colOff>19049</xdr:colOff>
      <xdr:row>55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238576-65CA-4101-A3B0-3B9E0FB1C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14</xdr:col>
      <xdr:colOff>57150</xdr:colOff>
      <xdr:row>72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6762CB-CF7B-4F3E-97AE-55FB70744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247649</xdr:colOff>
      <xdr:row>90</xdr:row>
      <xdr:rowOff>0</xdr:rowOff>
    </xdr:from>
    <xdr:to>
      <xdr:col>14</xdr:col>
      <xdr:colOff>85724</xdr:colOff>
      <xdr:row>104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A98DB4C-5B9F-46CE-8012-B199FF28B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74</xdr:row>
      <xdr:rowOff>0</xdr:rowOff>
    </xdr:from>
    <xdr:to>
      <xdr:col>14</xdr:col>
      <xdr:colOff>76200</xdr:colOff>
      <xdr:row>88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E8E7A20-79E1-42E1-B717-88F08AAED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56.414838888886" createdVersion="8" refreshedVersion="8" minRefreshableVersion="3" recordCount="406" xr:uid="{F23016DA-801F-4810-BAC3-CA62D6C8FF71}">
  <cacheSource type="worksheet">
    <worksheetSource name="Sales"/>
  </cacheSource>
  <cacheFields count="21">
    <cacheField name="order_id" numFmtId="0">
      <sharedItems/>
    </cacheField>
    <cacheField name="order_date" numFmtId="164">
      <sharedItems containsSemiMixedTypes="0" containsNonDate="0" containsDate="1" containsString="0" minDate="2025-01-02T00:00:00" maxDate="2026-08-21T00:00:00" count="252">
        <d v="2025-01-03T00:00:00"/>
        <d v="2025-01-04T00:00:00"/>
        <d v="2025-01-05T00:00:00"/>
        <d v="2025-01-07T00:00:00"/>
        <d v="2025-01-16T00:00:00"/>
        <d v="2025-01-19T00:00:00"/>
        <d v="2025-01-21T00:00:00"/>
        <d v="2025-01-25T00:00:00"/>
        <d v="2025-02-11T00:00:00"/>
        <d v="2025-02-17T00:00:00"/>
        <d v="2025-02-18T00:00:00"/>
        <d v="2025-02-21T00:00:00"/>
        <d v="2025-02-26T00:00:00"/>
        <d v="2025-03-07T00:00:00"/>
        <d v="2025-03-08T00:00:00"/>
        <d v="2025-03-10T00:00:00"/>
        <d v="2025-03-12T00:00:00"/>
        <d v="2025-03-14T00:00:00"/>
        <d v="2025-03-17T00:00:00"/>
        <d v="2025-04-08T00:00:00"/>
        <d v="2025-04-10T00:00:00"/>
        <d v="2025-04-18T00:00:00"/>
        <d v="2025-04-21T00:00:00"/>
        <d v="2025-04-23T00:00:00"/>
        <d v="2025-04-30T00:00:00"/>
        <d v="2025-05-04T00:00:00"/>
        <d v="2025-05-05T00:00:00"/>
        <d v="2025-05-11T00:00:00"/>
        <d v="2025-05-13T00:00:00"/>
        <d v="2025-05-17T00:00:00"/>
        <d v="2025-05-20T00:00:00"/>
        <d v="2025-05-29T00:00:00"/>
        <d v="2025-06-01T00:00:00"/>
        <d v="2025-06-04T00:00:00"/>
        <d v="2025-06-08T00:00:00"/>
        <d v="2025-06-11T00:00:00"/>
        <d v="2025-06-16T00:00:00"/>
        <d v="2025-06-20T00:00:00"/>
        <d v="2025-06-21T00:00:00"/>
        <d v="2025-06-24T00:00:00"/>
        <d v="2025-07-04T00:00:00"/>
        <d v="2025-07-07T00:00:00"/>
        <d v="2025-07-12T00:00:00"/>
        <d v="2025-07-15T00:00:00"/>
        <d v="2025-07-27T00:00:00"/>
        <d v="2025-07-28T00:00:00"/>
        <d v="2025-07-30T00:00:00"/>
        <d v="2025-08-01T00:00:00"/>
        <d v="2025-08-02T00:00:00"/>
        <d v="2025-08-05T00:00:00"/>
        <d v="2025-08-06T00:00:00"/>
        <d v="2025-08-09T00:00:00"/>
        <d v="2025-08-16T00:00:00"/>
        <d v="2025-08-19T00:00:00"/>
        <d v="2025-08-20T00:00:00"/>
        <d v="2025-08-21T00:00:00"/>
        <d v="2025-08-22T00:00:00"/>
        <d v="2025-09-10T00:00:00"/>
        <d v="2025-09-12T00:00:00"/>
        <d v="2025-09-26T00:00:00"/>
        <d v="2025-10-09T00:00:00"/>
        <d v="2025-10-12T00:00:00"/>
        <d v="2025-10-13T00:00:00"/>
        <d v="2025-10-14T00:00:00"/>
        <d v="2025-10-16T00:00:00"/>
        <d v="2025-10-24T00:00:00"/>
        <d v="2025-10-29T00:00:00"/>
        <d v="2025-10-30T00:00:00"/>
        <d v="2025-11-01T00:00:00"/>
        <d v="2025-11-03T00:00:00"/>
        <d v="2025-11-17T00:00:00"/>
        <d v="2025-11-23T00:00:00"/>
        <d v="2025-12-02T00:00:00"/>
        <d v="2025-12-19T00:00:00"/>
        <d v="2025-01-24T00:00:00"/>
        <d v="2025-02-06T00:00:00"/>
        <d v="2025-02-12T00:00:00"/>
        <d v="2025-03-18T00:00:00"/>
        <d v="2025-03-19T00:00:00"/>
        <d v="2025-03-22T00:00:00"/>
        <d v="2025-04-01T00:00:00"/>
        <d v="2025-04-09T00:00:00"/>
        <d v="2025-04-12T00:00:00"/>
        <d v="2025-04-24T00:00:00"/>
        <d v="2025-05-03T00:00:00"/>
        <d v="2025-05-15T00:00:00"/>
        <d v="2025-05-25T00:00:00"/>
        <d v="2025-05-26T00:00:00"/>
        <d v="2025-05-30T00:00:00"/>
        <d v="2025-06-09T00:00:00"/>
        <d v="2025-06-10T00:00:00"/>
        <d v="2025-06-13T00:00:00"/>
        <d v="2025-06-28T00:00:00"/>
        <d v="2025-07-02T00:00:00"/>
        <d v="2025-07-09T00:00:00"/>
        <d v="2025-07-10T00:00:00"/>
        <d v="2025-07-24T00:00:00"/>
        <d v="2025-08-04T00:00:00"/>
        <d v="2025-08-28T00:00:00"/>
        <d v="2025-08-30T00:00:00"/>
        <d v="2025-09-07T00:00:00"/>
        <d v="2025-09-18T00:00:00"/>
        <d v="2025-09-22T00:00:00"/>
        <d v="2025-09-28T00:00:00"/>
        <d v="2025-10-17T00:00:00"/>
        <d v="2025-10-22T00:00:00"/>
        <d v="2025-11-05T00:00:00"/>
        <d v="2025-11-06T00:00:00"/>
        <d v="2025-11-21T00:00:00"/>
        <d v="2025-11-24T00:00:00"/>
        <d v="2025-12-28T00:00:00"/>
        <d v="2025-12-31T00:00:00"/>
        <d v="2025-01-12T00:00:00"/>
        <d v="2025-01-20T00:00:00"/>
        <d v="2025-02-27T00:00:00"/>
        <d v="2025-03-01T00:00:00"/>
        <d v="2025-03-02T00:00:00"/>
        <d v="2025-03-11T00:00:00"/>
        <d v="2025-03-16T00:00:00"/>
        <d v="2025-03-27T00:00:00"/>
        <d v="2025-04-05T00:00:00"/>
        <d v="2025-05-08T00:00:00"/>
        <d v="2025-05-31T00:00:00"/>
        <d v="2025-06-03T00:00:00"/>
        <d v="2025-06-30T00:00:00"/>
        <d v="2025-07-17T00:00:00"/>
        <d v="2025-07-18T00:00:00"/>
        <d v="2025-07-23T00:00:00"/>
        <d v="2025-07-29T00:00:00"/>
        <d v="2025-08-07T00:00:00"/>
        <d v="2025-08-10T00:00:00"/>
        <d v="2025-08-11T00:00:00"/>
        <d v="2025-08-31T00:00:00"/>
        <d v="2025-09-15T00:00:00"/>
        <d v="2025-10-01T00:00:00"/>
        <d v="2025-10-11T00:00:00"/>
        <d v="2025-10-27T00:00:00"/>
        <d v="2025-10-31T00:00:00"/>
        <d v="2025-11-07T00:00:00"/>
        <d v="2025-11-13T00:00:00"/>
        <d v="2025-11-15T00:00:00"/>
        <d v="2025-11-19T00:00:00"/>
        <d v="2025-11-29T00:00:00"/>
        <d v="2025-12-03T00:00:00"/>
        <d v="2025-12-07T00:00:00"/>
        <d v="2025-12-08T00:00:00"/>
        <d v="2025-12-12T00:00:00"/>
        <d v="2025-12-13T00:00:00"/>
        <d v="2025-12-24T00:00:00"/>
        <d v="2025-01-02T00:00:00"/>
        <d v="2025-01-06T00:00:00"/>
        <d v="2025-01-08T00:00:00"/>
        <d v="2025-01-13T00:00:00"/>
        <d v="2025-01-23T00:00:00"/>
        <d v="2025-01-28T00:00:00"/>
        <d v="2025-01-31T00:00:00"/>
        <d v="2025-02-15T00:00:00"/>
        <d v="2025-02-20T00:00:00"/>
        <d v="2025-02-23T00:00:00"/>
        <d v="2025-02-24T00:00:00"/>
        <d v="2025-03-05T00:00:00"/>
        <d v="2025-03-23T00:00:00"/>
        <d v="2025-03-24T00:00:00"/>
        <d v="2025-03-30T00:00:00"/>
        <d v="2025-03-31T00:00:00"/>
        <d v="2025-04-07T00:00:00"/>
        <d v="2025-04-11T00:00:00"/>
        <d v="2025-04-13T00:00:00"/>
        <d v="2025-04-14T00:00:00"/>
        <d v="2025-04-17T00:00:00"/>
        <d v="2025-04-19T00:00:00"/>
        <d v="2025-04-29T00:00:00"/>
        <d v="2025-05-02T00:00:00"/>
        <d v="2025-05-09T00:00:00"/>
        <d v="2025-05-10T00:00:00"/>
        <d v="2025-05-12T00:00:00"/>
        <d v="2025-05-16T00:00:00"/>
        <d v="2025-05-19T00:00:00"/>
        <d v="2025-05-23T00:00:00"/>
        <d v="2025-05-28T00:00:00"/>
        <d v="2025-06-12T00:00:00"/>
        <d v="2025-06-14T00:00:00"/>
        <d v="2025-06-15T00:00:00"/>
        <d v="2025-06-19T00:00:00"/>
        <d v="2025-06-23T00:00:00"/>
        <d v="2025-06-26T00:00:00"/>
        <d v="2025-06-29T00:00:00"/>
        <d v="2025-07-03T00:00:00"/>
        <d v="2025-07-06T00:00:00"/>
        <d v="2025-07-16T00:00:00"/>
        <d v="2025-07-25T00:00:00"/>
        <d v="2025-08-15T00:00:00"/>
        <d v="2025-08-23T00:00:00"/>
        <d v="2025-08-25T00:00:00"/>
        <d v="2025-08-29T00:00:00"/>
        <d v="2025-09-01T00:00:00"/>
        <d v="2025-09-02T00:00:00"/>
        <d v="2025-09-19T00:00:00"/>
        <d v="2025-10-04T00:00:00"/>
        <d v="2025-10-05T00:00:00"/>
        <d v="2025-10-26T00:00:00"/>
        <d v="2025-11-02T00:00:00"/>
        <d v="2025-11-04T00:00:00"/>
        <d v="2025-11-16T00:00:00"/>
        <d v="2025-11-18T00:00:00"/>
        <d v="2025-11-20T00:00:00"/>
        <d v="2025-11-22T00:00:00"/>
        <d v="2025-11-27T00:00:00"/>
        <d v="2025-11-28T00:00:00"/>
        <d v="2025-11-30T00:00:00"/>
        <d v="2025-12-01T00:00:00"/>
        <d v="2025-12-05T00:00:00"/>
        <d v="2025-12-09T00:00:00"/>
        <d v="2025-12-10T00:00:00"/>
        <d v="2025-12-14T00:00:00"/>
        <d v="2025-12-15T00:00:00"/>
        <d v="2025-12-17T00:00:00"/>
        <d v="2025-12-21T00:00:00"/>
        <d v="2025-12-23T00:00:00"/>
        <d v="2025-12-30T00:00:00"/>
        <d v="2025-01-14T00:00:00"/>
        <d v="2025-01-18T00:00:00"/>
        <d v="2025-01-30T00:00:00"/>
        <d v="2025-02-02T00:00:00"/>
        <d v="2025-02-07T00:00:00"/>
        <d v="2025-02-08T00:00:00"/>
        <d v="2025-02-22T00:00:00"/>
        <d v="2025-03-20T00:00:00"/>
        <d v="2025-03-25T00:00:00"/>
        <d v="2025-04-02T00:00:00"/>
        <d v="2025-04-03T00:00:00"/>
        <d v="2025-05-06T00:00:00"/>
        <d v="2025-05-18T00:00:00"/>
        <d v="2025-05-22T00:00:00"/>
        <d v="2025-06-06T00:00:00"/>
        <d v="2025-06-22T00:00:00"/>
        <d v="2025-06-25T00:00:00"/>
        <d v="2025-07-14T00:00:00"/>
        <d v="2025-07-19T00:00:00"/>
        <d v="2025-08-03T00:00:00"/>
        <d v="2025-08-12T00:00:00"/>
        <d v="2025-08-17T00:00:00"/>
        <d v="2025-10-02T00:00:00"/>
        <d v="2025-10-03T00:00:00"/>
        <d v="2025-10-15T00:00:00"/>
        <d v="2025-10-25T00:00:00"/>
        <d v="2025-10-28T00:00:00"/>
        <d v="2025-11-14T00:00:00"/>
        <d v="2025-12-11T00:00:00"/>
        <d v="2025-12-27T00:00:00"/>
        <d v="2025-11-08T00:00:00"/>
        <d v="2026-08-20T00:00:00" u="1"/>
      </sharedItems>
      <fieldGroup par="20"/>
    </cacheField>
    <cacheField name="region" numFmtId="0">
      <sharedItems count="6">
        <s v="Abuja"/>
        <s v="Ibadan"/>
        <s v="Kano"/>
        <s v="Lagos"/>
        <s v="Port Harcourt"/>
        <s v="Yola" u="1"/>
      </sharedItems>
    </cacheField>
    <cacheField name="sales_rep" numFmtId="0">
      <sharedItems/>
    </cacheField>
    <cacheField name="channel" numFmtId="0">
      <sharedItems count="5">
        <s v="Web"/>
        <s v="Walk-in"/>
        <s v="Mobile App"/>
        <s v="Phone"/>
        <s v="Mobile Web" u="1"/>
      </sharedItems>
    </cacheField>
    <cacheField name="product" numFmtId="0">
      <sharedItems count="13">
        <s v="Palm Oil 5L"/>
        <s v="Ankle Boots"/>
        <s v="Ankara Fabric 6yd"/>
        <s v="Blender 1.5L"/>
        <s v="Sneakers"/>
        <s v="Bedsheet Set"/>
        <s v="Body Lotion 400ml"/>
        <s v="Rice 25kg"/>
        <s v="Power Bank 20000mAh"/>
        <s v="Wireless Earbuds"/>
        <s v="Lace Material 5yd"/>
        <s v="LED Ring Light"/>
        <s v="Book" u="1"/>
      </sharedItems>
    </cacheField>
    <cacheField name="category" numFmtId="0">
      <sharedItems count="7">
        <s v="Groceries"/>
        <s v="Fashion"/>
        <s v="Textiles"/>
        <s v="Home"/>
        <s v="Beauty"/>
        <s v="Electronics"/>
        <s v="Novel" u="1"/>
      </sharedItems>
    </cacheField>
    <cacheField name="quantity" numFmtId="0">
      <sharedItems containsSemiMixedTypes="0" containsString="0" containsNumber="1" containsInteger="1" minValue="1" maxValue="11"/>
    </cacheField>
    <cacheField name="unit_price_ngn" numFmtId="0">
      <sharedItems containsSemiMixedTypes="0" containsString="0" containsNumber="1" containsInteger="1" minValue="6800" maxValue="46000"/>
    </cacheField>
    <cacheField name="unit_cost_ngn" numFmtId="0">
      <sharedItems containsSemiMixedTypes="0" containsString="0" containsNumber="1" containsInteger="1" minValue="3900" maxValue="39000"/>
    </cacheField>
    <cacheField name="discount_pct" numFmtId="9">
      <sharedItems containsSemiMixedTypes="0" containsString="0" containsNumber="1" minValue="0" maxValue="0.1"/>
    </cacheField>
    <cacheField name="delivery_days" numFmtId="0">
      <sharedItems containsSemiMixedTypes="0" containsString="0" containsNumber="1" containsInteger="1" minValue="1" maxValue="10"/>
    </cacheField>
    <cacheField name="customer_id" numFmtId="0">
      <sharedItems/>
    </cacheField>
    <cacheField name="credit_limit_ngn" numFmtId="0">
      <sharedItems containsMixedTypes="1" containsNumber="1" containsInteger="1" minValue="50000" maxValue="500000"/>
    </cacheField>
    <cacheField name="city" numFmtId="0">
      <sharedItems/>
    </cacheField>
    <cacheField name="customer_name" numFmtId="0">
      <sharedItems count="111">
        <s v="Bola Musa"/>
        <s v="Amaka Bello"/>
        <s v="Funmi Musa"/>
        <s v="Temitope Nnamdi"/>
        <s v="Halima Ibrahim"/>
        <s v="Sadiq Chukwu"/>
        <s v="Hauwa Sanni"/>
        <s v="Emeka Fashola"/>
        <s v="Tunde Sanni"/>
        <s v="Adaeze Okafor"/>
        <s v="Kunle Jibril"/>
        <s v="Ifeoma Adebayo"/>
        <s v="Blessing Eze"/>
        <s v="Yemi Lawal"/>
        <s v="Blessing Ibrahim"/>
        <s v="Funmi Okafor"/>
        <s v="Chinelo Lawal"/>
        <s v="Uche Danjuma"/>
        <s v="Chidi Iheanacho"/>
        <s v="Musa Adebayo"/>
        <s v="Hauwa Eze"/>
        <s v="Jide Umeh"/>
        <s v="Femi Eze"/>
        <s v="Dayo Musa"/>
        <s v="Uche Chukwu"/>
        <s v="Tunde Mohammed"/>
        <s v="Obinna Oyelaran"/>
        <s v="Femi Umeh"/>
        <s v="Maryam Fashola"/>
        <s v="Emeka Ibrahim"/>
        <s v="Blessing Nnamdi"/>
        <s v="Aisha Okafor"/>
        <s v="Chidi Nwosu"/>
        <s v="Dayo Jibril"/>
        <s v="Ngozi Bello"/>
        <s v="Halima Okonkwo"/>
        <s v="Gbenga Fashola"/>
        <s v="Obinna Chukwu"/>
        <s v="Nneka Oyelaran"/>
        <s v="Hauwa Okafor"/>
        <s v="Halima Chukwu"/>
        <s v="Chidi Mohammed"/>
        <s v="Kemi Nwachukwu"/>
        <s v="Ijeoma Jibril"/>
        <s v="Tunde Ogunleye"/>
        <s v="Aisha Eze"/>
        <s v="Uche Yusuf"/>
        <s v="Funmi Kalu"/>
        <s v="Blessing Ojo"/>
        <s v="Ijeoma Nnamdi"/>
        <s v="Yemi Adeyemi"/>
        <s v="Ngozi Oyelaran"/>
        <s v="Blessing Yusuf"/>
        <s v="Blessing Obi"/>
        <s v="Ibrahim Ogunleye"/>
        <s v="Aisha Ojo"/>
        <s v="Obinna Kalu"/>
        <s v="Ibrahim Peters"/>
        <s v="Obinna Umeh"/>
        <s v="Lanre Balogun"/>
        <s v="Tunde Oyelaran"/>
        <s v="Kelechi Balogun"/>
        <s v="Blessing Adeleke"/>
        <s v="Emeka Danjuma"/>
        <s v="Temitope Okonkwo"/>
        <s v="Jide Lawal"/>
        <s v="Fatima Ogunleye"/>
        <s v="Ibrahim Obi"/>
        <s v="Yemi Ogunleye"/>
        <s v="Chiamaka Fashola"/>
        <s v="Adaeze Nwosu"/>
        <s v="Chidi Nnamdi"/>
        <s v="Grace Yusuf"/>
        <s v="Zainab Sanni"/>
        <s v="Kelechi Adeyemi"/>
        <s v="Emeka Balogun"/>
        <s v="Efe Musa"/>
        <s v="Kelechi Kalu"/>
        <s v="Yemi Musa"/>
        <s v="Fatima Peters"/>
        <s v="Ijeoma Adeleke"/>
        <s v="Halima Adebayo"/>
        <s v="Femi Nwachukwu"/>
        <s v="Efe Umeh"/>
        <s v="Yemi Sanni"/>
        <s v="Nneka Nnamdi"/>
        <s v="Nneka Iheanacho"/>
        <s v="Damilola Nwosu"/>
        <s v="Amaka Balogun"/>
        <s v="Grace Musa"/>
        <s v="Adaeze Balogun"/>
        <s v="Uche Nwachukwu"/>
        <s v="Sadiq Iheanacho"/>
        <s v="Gbenga Okafor"/>
        <s v="Chinelo Jibril"/>
        <s v="Uche Sanni"/>
        <s v="Musa Obi"/>
        <s v="Sadiq Obi"/>
        <s v="Gbenga Ojo"/>
        <s v="Bashir Ibrahim"/>
        <s v="Amaka Eze"/>
        <s v="Maryam Oyelaran"/>
        <s v="Bola Kalu"/>
        <s v="Ijeoma Fashola"/>
        <s v="Blessing Sanni"/>
        <s v="Adaeze Musa"/>
        <s v="Tunde Kalu"/>
        <s v="Halima Mohammed"/>
        <s v="Ijeoma Obi"/>
        <s v="Dayo Balogun"/>
        <s v="Unknown customer"/>
      </sharedItems>
    </cacheField>
    <cacheField name="segment" numFmtId="0">
      <sharedItems count="4">
        <s v="Corporate"/>
        <s v="Retail"/>
        <s v="Wholesale"/>
        <s v="Unknown customer"/>
      </sharedItems>
    </cacheField>
    <cacheField name="revenue" numFmtId="0">
      <sharedItems containsSemiMixedTypes="0" containsString="0" containsNumber="1" containsInteger="1" minValue="6800" maxValue="460000"/>
    </cacheField>
    <cacheField name="Profit_ngn" numFmtId="0">
      <sharedItems containsSemiMixedTypes="0" containsString="0" containsNumber="1" containsInteger="1" minValue="1220" maxValue="139500"/>
    </cacheField>
    <cacheField name="Month" numFmtId="0">
      <sharedItems/>
    </cacheField>
    <cacheField name="Months (order_date)" numFmtId="0" databaseField="0">
      <fieldGroup base="1">
        <rangePr groupBy="months" startDate="2025-01-02T00:00:00" endDate="2026-01-01T00:00:00"/>
        <groupItems count="14">
          <s v="&lt;02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 pivotCacheId="19499650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">
  <r>
    <s v="ORD-7122"/>
    <x v="0"/>
    <x v="0"/>
    <s v="Ngozi Eze"/>
    <x v="0"/>
    <x v="0"/>
    <x v="0"/>
    <n v="1"/>
    <n v="9800"/>
    <n v="7600"/>
    <n v="0.1"/>
    <n v="7"/>
    <s v="CUS-2102"/>
    <n v="250000"/>
    <s v="Abuja"/>
    <x v="0"/>
    <x v="0"/>
    <n v="8820"/>
    <n v="1220"/>
    <s v="2025-01"/>
  </r>
  <r>
    <s v="ORD-7166"/>
    <x v="0"/>
    <x v="0"/>
    <s v="Ngozi Eze"/>
    <x v="1"/>
    <x v="1"/>
    <x v="1"/>
    <n v="3"/>
    <n v="41000"/>
    <n v="25000"/>
    <n v="0"/>
    <n v="5"/>
    <s v="CUS-2032"/>
    <n v="500000"/>
    <s v="Abuja"/>
    <x v="1"/>
    <x v="1"/>
    <n v="123000"/>
    <n v="48000"/>
    <s v="2025-01"/>
  </r>
  <r>
    <s v="ORD-7121"/>
    <x v="1"/>
    <x v="0"/>
    <s v="Ngozi Eze"/>
    <x v="0"/>
    <x v="2"/>
    <x v="2"/>
    <n v="1"/>
    <n v="12000"/>
    <n v="7200"/>
    <n v="0"/>
    <n v="5"/>
    <s v="CUS-2102"/>
    <n v="250000"/>
    <s v="Abuja"/>
    <x v="0"/>
    <x v="0"/>
    <n v="12000"/>
    <n v="4800"/>
    <s v="2025-01"/>
  </r>
  <r>
    <s v="ORD-7248"/>
    <x v="2"/>
    <x v="0"/>
    <s v="Ngozi Eze"/>
    <x v="1"/>
    <x v="3"/>
    <x v="3"/>
    <n v="1"/>
    <n v="32000"/>
    <n v="21000"/>
    <n v="0"/>
    <n v="2"/>
    <s v="CUS-2044"/>
    <n v="250000"/>
    <s v="Abuja"/>
    <x v="2"/>
    <x v="2"/>
    <n v="32000"/>
    <n v="11000"/>
    <s v="2025-01"/>
  </r>
  <r>
    <s v="ORD-7115"/>
    <x v="3"/>
    <x v="0"/>
    <s v="Ngozi Eze"/>
    <x v="2"/>
    <x v="4"/>
    <x v="1"/>
    <n v="1"/>
    <n v="27500"/>
    <n v="16500"/>
    <n v="0.05"/>
    <n v="3"/>
    <s v="CUS-2026"/>
    <n v="500000"/>
    <s v="Abuja"/>
    <x v="3"/>
    <x v="0"/>
    <n v="26125"/>
    <n v="9625"/>
    <s v="2025-01"/>
  </r>
  <r>
    <s v="ORD-7164"/>
    <x v="4"/>
    <x v="0"/>
    <s v="Ngozi Eze"/>
    <x v="0"/>
    <x v="5"/>
    <x v="3"/>
    <n v="1"/>
    <n v="24000"/>
    <n v="14500"/>
    <n v="0"/>
    <n v="7"/>
    <s v="CUS-2109"/>
    <n v="50000"/>
    <s v="Abuja"/>
    <x v="4"/>
    <x v="1"/>
    <n v="24000"/>
    <n v="9500"/>
    <s v="2025-01"/>
  </r>
  <r>
    <s v="ORD-7398"/>
    <x v="5"/>
    <x v="0"/>
    <s v="Ngozi Eze"/>
    <x v="3"/>
    <x v="3"/>
    <x v="3"/>
    <n v="1"/>
    <n v="32000"/>
    <n v="21000"/>
    <n v="0"/>
    <n v="2"/>
    <s v="CUS-2116"/>
    <n v="500000"/>
    <s v="Abuja"/>
    <x v="5"/>
    <x v="2"/>
    <n v="32000"/>
    <n v="11000"/>
    <s v="2025-01"/>
  </r>
  <r>
    <s v="ORD-7215"/>
    <x v="6"/>
    <x v="0"/>
    <s v="Ngozi Eze"/>
    <x v="1"/>
    <x v="2"/>
    <x v="2"/>
    <n v="3"/>
    <n v="12000"/>
    <n v="7200"/>
    <n v="0"/>
    <n v="1"/>
    <s v="CUS-2102"/>
    <n v="250000"/>
    <s v="Abuja"/>
    <x v="0"/>
    <x v="0"/>
    <n v="36000"/>
    <n v="14400"/>
    <s v="2025-01"/>
  </r>
  <r>
    <s v="ORD-7345"/>
    <x v="7"/>
    <x v="0"/>
    <s v="Ngozi Eze"/>
    <x v="3"/>
    <x v="0"/>
    <x v="0"/>
    <n v="1"/>
    <n v="9800"/>
    <n v="7600"/>
    <n v="0"/>
    <n v="1"/>
    <s v="CUS-2116"/>
    <n v="500000"/>
    <s v="Abuja"/>
    <x v="5"/>
    <x v="2"/>
    <n v="9800"/>
    <n v="2200"/>
    <s v="2025-01"/>
  </r>
  <r>
    <s v="ORD-7410"/>
    <x v="8"/>
    <x v="0"/>
    <s v="Ngozi Eze"/>
    <x v="3"/>
    <x v="6"/>
    <x v="4"/>
    <n v="10"/>
    <n v="6800"/>
    <n v="3900"/>
    <n v="0"/>
    <n v="1"/>
    <s v="CUS-2114"/>
    <n v="100000"/>
    <s v="Abuja"/>
    <x v="6"/>
    <x v="1"/>
    <n v="68000"/>
    <n v="29000"/>
    <s v="2025-02"/>
  </r>
  <r>
    <s v="ORD-7048"/>
    <x v="9"/>
    <x v="0"/>
    <s v="Ngozi Eze"/>
    <x v="3"/>
    <x v="3"/>
    <x v="3"/>
    <n v="2"/>
    <n v="32000"/>
    <n v="21000"/>
    <n v="0"/>
    <n v="4"/>
    <s v="CUS-2070"/>
    <n v="150000"/>
    <s v="Abuja"/>
    <x v="7"/>
    <x v="1"/>
    <n v="64000"/>
    <n v="22000"/>
    <s v="2025-02"/>
  </r>
  <r>
    <s v="ORD-7409"/>
    <x v="10"/>
    <x v="0"/>
    <s v="Ngozi Eze"/>
    <x v="1"/>
    <x v="4"/>
    <x v="1"/>
    <n v="8"/>
    <n v="27500"/>
    <n v="16500"/>
    <n v="0"/>
    <n v="3"/>
    <s v="CUS-2090"/>
    <n v="50000"/>
    <s v="Abuja"/>
    <x v="8"/>
    <x v="0"/>
    <n v="220000"/>
    <n v="88000"/>
    <s v="2025-02"/>
  </r>
  <r>
    <s v="ORD-7256"/>
    <x v="11"/>
    <x v="0"/>
    <s v="Ngozi Eze"/>
    <x v="1"/>
    <x v="4"/>
    <x v="1"/>
    <n v="4"/>
    <n v="27500"/>
    <n v="16500"/>
    <n v="0.05"/>
    <n v="4"/>
    <s v="CUS-2116"/>
    <n v="500000"/>
    <s v="Abuja"/>
    <x v="5"/>
    <x v="2"/>
    <n v="104500"/>
    <n v="38500"/>
    <s v="2025-02"/>
  </r>
  <r>
    <s v="ORD-7085"/>
    <x v="12"/>
    <x v="0"/>
    <s v="Ngozi Eze"/>
    <x v="0"/>
    <x v="1"/>
    <x v="1"/>
    <n v="2"/>
    <n v="41000"/>
    <n v="25000"/>
    <n v="0"/>
    <n v="3"/>
    <s v="CUS-2107"/>
    <n v="500000"/>
    <s v="Abuja"/>
    <x v="9"/>
    <x v="0"/>
    <n v="82000"/>
    <n v="32000"/>
    <s v="2025-02"/>
  </r>
  <r>
    <s v="ORD-7265"/>
    <x v="13"/>
    <x v="0"/>
    <s v="Ngozi Eze"/>
    <x v="1"/>
    <x v="7"/>
    <x v="0"/>
    <n v="10"/>
    <n v="46000"/>
    <n v="39000"/>
    <n v="0"/>
    <n v="4"/>
    <s v="CUS-2044"/>
    <n v="250000"/>
    <s v="Abuja"/>
    <x v="2"/>
    <x v="2"/>
    <n v="460000"/>
    <n v="70000"/>
    <s v="2025-03"/>
  </r>
  <r>
    <s v="ORD-7367"/>
    <x v="14"/>
    <x v="0"/>
    <s v="Ngozi Eze"/>
    <x v="1"/>
    <x v="5"/>
    <x v="3"/>
    <n v="1"/>
    <n v="24000"/>
    <n v="14500"/>
    <n v="0"/>
    <n v="2"/>
    <s v="CUS-2078"/>
    <n v="500000"/>
    <s v="Abuja"/>
    <x v="10"/>
    <x v="2"/>
    <n v="24000"/>
    <n v="9500"/>
    <s v="2025-03"/>
  </r>
  <r>
    <s v="ORD-7056"/>
    <x v="15"/>
    <x v="0"/>
    <s v="Ngozi Eze"/>
    <x v="2"/>
    <x v="5"/>
    <x v="3"/>
    <n v="2"/>
    <n v="24000"/>
    <n v="14500"/>
    <n v="0"/>
    <n v="3"/>
    <s v="CUS-2052"/>
    <n v="500000"/>
    <s v="Abuja"/>
    <x v="11"/>
    <x v="1"/>
    <n v="48000"/>
    <n v="19000"/>
    <s v="2025-03"/>
  </r>
  <r>
    <s v="ORD-7297"/>
    <x v="16"/>
    <x v="0"/>
    <s v="Ngozi Eze"/>
    <x v="0"/>
    <x v="0"/>
    <x v="0"/>
    <n v="2"/>
    <n v="9800"/>
    <n v="7600"/>
    <n v="0"/>
    <n v="3"/>
    <s v="CUS-2090"/>
    <n v="50000"/>
    <s v="Abuja"/>
    <x v="8"/>
    <x v="0"/>
    <n v="19600"/>
    <n v="4400"/>
    <s v="2025-03"/>
  </r>
  <r>
    <s v="ORD-7331"/>
    <x v="17"/>
    <x v="0"/>
    <s v="Ngozi Eze"/>
    <x v="2"/>
    <x v="6"/>
    <x v="4"/>
    <n v="5"/>
    <n v="6800"/>
    <n v="3900"/>
    <n v="0"/>
    <n v="4"/>
    <s v="CUS-2045"/>
    <n v="250000"/>
    <s v="Abuja"/>
    <x v="12"/>
    <x v="1"/>
    <n v="34000"/>
    <n v="14500"/>
    <s v="2025-03"/>
  </r>
  <r>
    <s v="ORD-7106"/>
    <x v="18"/>
    <x v="0"/>
    <s v="Ngozi Eze"/>
    <x v="3"/>
    <x v="8"/>
    <x v="5"/>
    <n v="2"/>
    <n v="15500"/>
    <n v="9900"/>
    <n v="0"/>
    <n v="2"/>
    <s v="CUS-2116"/>
    <n v="500000"/>
    <s v="Abuja"/>
    <x v="5"/>
    <x v="2"/>
    <n v="31000"/>
    <n v="11200"/>
    <s v="2025-03"/>
  </r>
  <r>
    <s v="ORD-7222"/>
    <x v="19"/>
    <x v="0"/>
    <s v="Ngozi Eze"/>
    <x v="2"/>
    <x v="0"/>
    <x v="0"/>
    <n v="5"/>
    <n v="9800"/>
    <n v="7600"/>
    <n v="0"/>
    <n v="3"/>
    <s v="CUS-2046"/>
    <n v="150000"/>
    <s v="Abuja"/>
    <x v="13"/>
    <x v="2"/>
    <n v="49000"/>
    <n v="11000"/>
    <s v="2025-04"/>
  </r>
  <r>
    <s v="ORD-7159"/>
    <x v="20"/>
    <x v="0"/>
    <s v="Ngozi Eze"/>
    <x v="3"/>
    <x v="8"/>
    <x v="5"/>
    <n v="1"/>
    <n v="15500"/>
    <n v="9900"/>
    <n v="0"/>
    <n v="3"/>
    <s v="CUS-2107"/>
    <n v="500000"/>
    <s v="Abuja"/>
    <x v="9"/>
    <x v="0"/>
    <n v="15500"/>
    <n v="5600"/>
    <s v="2025-04"/>
  </r>
  <r>
    <s v="ORD-7338"/>
    <x v="21"/>
    <x v="0"/>
    <s v="Ngozi Eze"/>
    <x v="2"/>
    <x v="9"/>
    <x v="5"/>
    <n v="5"/>
    <n v="18500"/>
    <n v="11800"/>
    <n v="0"/>
    <n v="7"/>
    <s v="CUS-2032"/>
    <n v="500000"/>
    <s v="Abuja"/>
    <x v="1"/>
    <x v="1"/>
    <n v="92500"/>
    <n v="33500"/>
    <s v="2025-04"/>
  </r>
  <r>
    <s v="ORD-7054"/>
    <x v="22"/>
    <x v="0"/>
    <s v="Ngozi Eze"/>
    <x v="2"/>
    <x v="0"/>
    <x v="0"/>
    <n v="10"/>
    <n v="9800"/>
    <n v="7600"/>
    <n v="0"/>
    <n v="1"/>
    <s v="CUS-2008"/>
    <n v="500000"/>
    <s v="Abuja"/>
    <x v="14"/>
    <x v="1"/>
    <n v="98000"/>
    <n v="22000"/>
    <s v="2025-04"/>
  </r>
  <r>
    <s v="ORD-7021"/>
    <x v="23"/>
    <x v="0"/>
    <s v="Ngozi Eze"/>
    <x v="2"/>
    <x v="0"/>
    <x v="0"/>
    <n v="2"/>
    <n v="9800"/>
    <n v="7600"/>
    <n v="0"/>
    <n v="3"/>
    <s v="CUS-2087"/>
    <n v="150000"/>
    <s v="Abuja"/>
    <x v="15"/>
    <x v="0"/>
    <n v="19600"/>
    <n v="4400"/>
    <s v="2025-04"/>
  </r>
  <r>
    <s v="ORD-7172"/>
    <x v="24"/>
    <x v="0"/>
    <s v="Ngozi Eze"/>
    <x v="1"/>
    <x v="10"/>
    <x v="2"/>
    <n v="1"/>
    <n v="28000"/>
    <n v="18500"/>
    <n v="0"/>
    <n v="3"/>
    <s v="CUS-2078"/>
    <n v="500000"/>
    <s v="Abuja"/>
    <x v="10"/>
    <x v="2"/>
    <n v="28000"/>
    <n v="9500"/>
    <s v="2025-04"/>
  </r>
  <r>
    <s v="ORD-7105"/>
    <x v="25"/>
    <x v="0"/>
    <s v="Ngozi Eze"/>
    <x v="0"/>
    <x v="7"/>
    <x v="0"/>
    <n v="10"/>
    <n v="46000"/>
    <n v="39000"/>
    <n v="0"/>
    <n v="7"/>
    <s v="CUS-2094"/>
    <n v="150000"/>
    <s v="Abuja"/>
    <x v="16"/>
    <x v="1"/>
    <n v="460000"/>
    <n v="70000"/>
    <s v="2025-05"/>
  </r>
  <r>
    <s v="ORD-7102"/>
    <x v="26"/>
    <x v="0"/>
    <s v="Ngozi Eze"/>
    <x v="2"/>
    <x v="8"/>
    <x v="5"/>
    <n v="4"/>
    <n v="15500"/>
    <n v="9900"/>
    <n v="0"/>
    <n v="1"/>
    <s v="CUS-2102"/>
    <n v="250000"/>
    <s v="Abuja"/>
    <x v="0"/>
    <x v="0"/>
    <n v="62000"/>
    <n v="22400"/>
    <s v="2025-05"/>
  </r>
  <r>
    <s v="ORD-7275"/>
    <x v="26"/>
    <x v="0"/>
    <s v="Ngozi Eze"/>
    <x v="1"/>
    <x v="11"/>
    <x v="5"/>
    <n v="1"/>
    <n v="22000"/>
    <n v="13800"/>
    <n v="0"/>
    <n v="3"/>
    <s v="CUS-2032"/>
    <n v="500000"/>
    <s v="Abuja"/>
    <x v="1"/>
    <x v="1"/>
    <n v="22000"/>
    <n v="8200"/>
    <s v="2025-05"/>
  </r>
  <r>
    <s v="ORD-7080"/>
    <x v="27"/>
    <x v="0"/>
    <s v="Ngozi Eze"/>
    <x v="1"/>
    <x v="3"/>
    <x v="3"/>
    <n v="1"/>
    <n v="32000"/>
    <n v="21000"/>
    <n v="0.1"/>
    <n v="2"/>
    <s v="CUS-2070"/>
    <n v="150000"/>
    <s v="Abuja"/>
    <x v="7"/>
    <x v="1"/>
    <n v="28800"/>
    <n v="7800"/>
    <s v="2025-05"/>
  </r>
  <r>
    <s v="ORD-7308"/>
    <x v="28"/>
    <x v="0"/>
    <s v="Ngozi Eze"/>
    <x v="1"/>
    <x v="4"/>
    <x v="1"/>
    <n v="1"/>
    <n v="27500"/>
    <n v="16500"/>
    <n v="0"/>
    <n v="2"/>
    <s v="CUS-2107"/>
    <n v="500000"/>
    <s v="Abuja"/>
    <x v="9"/>
    <x v="0"/>
    <n v="27500"/>
    <n v="11000"/>
    <s v="2025-05"/>
  </r>
  <r>
    <s v="ORD-7152"/>
    <x v="29"/>
    <x v="0"/>
    <s v="Ngozi Eze"/>
    <x v="3"/>
    <x v="9"/>
    <x v="5"/>
    <n v="8"/>
    <n v="18500"/>
    <n v="11800"/>
    <n v="0"/>
    <n v="2"/>
    <s v="CUS-2078"/>
    <n v="500000"/>
    <s v="Abuja"/>
    <x v="10"/>
    <x v="2"/>
    <n v="148000"/>
    <n v="53600"/>
    <s v="2025-05"/>
  </r>
  <r>
    <s v="ORD-7031"/>
    <x v="30"/>
    <x v="0"/>
    <s v="Ngozi Eze"/>
    <x v="1"/>
    <x v="8"/>
    <x v="5"/>
    <n v="1"/>
    <n v="15500"/>
    <n v="9900"/>
    <n v="0"/>
    <n v="7"/>
    <s v="CUS-2107"/>
    <n v="500000"/>
    <s v="Abuja"/>
    <x v="9"/>
    <x v="0"/>
    <n v="15500"/>
    <n v="5600"/>
    <s v="2025-05"/>
  </r>
  <r>
    <s v="ORD-7388"/>
    <x v="31"/>
    <x v="0"/>
    <s v="Ngozi Eze"/>
    <x v="0"/>
    <x v="10"/>
    <x v="2"/>
    <n v="1"/>
    <n v="28000"/>
    <n v="18500"/>
    <n v="0"/>
    <n v="2"/>
    <s v="CUS-2109"/>
    <n v="50000"/>
    <s v="Abuja"/>
    <x v="4"/>
    <x v="1"/>
    <n v="28000"/>
    <n v="9500"/>
    <s v="2025-05"/>
  </r>
  <r>
    <s v="ORD-7129"/>
    <x v="32"/>
    <x v="0"/>
    <s v="Ngozi Eze"/>
    <x v="0"/>
    <x v="7"/>
    <x v="0"/>
    <n v="4"/>
    <n v="46000"/>
    <n v="39000"/>
    <n v="0"/>
    <n v="3"/>
    <s v="CUS-2090"/>
    <n v="50000"/>
    <s v="Abuja"/>
    <x v="8"/>
    <x v="0"/>
    <n v="184000"/>
    <n v="28000"/>
    <s v="2025-06"/>
  </r>
  <r>
    <s v="ORD-7154"/>
    <x v="32"/>
    <x v="0"/>
    <s v="Ngozi Eze"/>
    <x v="3"/>
    <x v="9"/>
    <x v="5"/>
    <n v="1"/>
    <n v="18500"/>
    <n v="11800"/>
    <n v="0"/>
    <n v="4"/>
    <s v="CUS-2040"/>
    <n v="100000"/>
    <s v="Abuja"/>
    <x v="17"/>
    <x v="1"/>
    <n v="18500"/>
    <n v="6700"/>
    <s v="2025-06"/>
  </r>
  <r>
    <s v="ORD-7295"/>
    <x v="33"/>
    <x v="0"/>
    <s v="Ngozi Eze"/>
    <x v="0"/>
    <x v="5"/>
    <x v="3"/>
    <n v="1"/>
    <n v="24000"/>
    <n v="14500"/>
    <n v="0"/>
    <n v="1"/>
    <s v="CUS-2070"/>
    <n v="150000"/>
    <s v="Abuja"/>
    <x v="7"/>
    <x v="1"/>
    <n v="24000"/>
    <n v="9500"/>
    <s v="2025-06"/>
  </r>
  <r>
    <s v="ORD-7344"/>
    <x v="33"/>
    <x v="0"/>
    <s v="Ngozi Eze"/>
    <x v="0"/>
    <x v="4"/>
    <x v="1"/>
    <n v="3"/>
    <n v="27500"/>
    <n v="16500"/>
    <n v="0"/>
    <n v="4"/>
    <s v="CUS-2044"/>
    <n v="250000"/>
    <s v="Abuja"/>
    <x v="2"/>
    <x v="2"/>
    <n v="82500"/>
    <n v="33000"/>
    <s v="2025-06"/>
  </r>
  <r>
    <s v="ORD-7066"/>
    <x v="34"/>
    <x v="0"/>
    <s v="Ngozi Eze"/>
    <x v="1"/>
    <x v="6"/>
    <x v="4"/>
    <n v="5"/>
    <n v="6800"/>
    <n v="3900"/>
    <n v="0"/>
    <n v="5"/>
    <s v="CUS-2052"/>
    <n v="500000"/>
    <s v="Abuja"/>
    <x v="11"/>
    <x v="1"/>
    <n v="34000"/>
    <n v="14500"/>
    <s v="2025-06"/>
  </r>
  <r>
    <s v="ORD-7139"/>
    <x v="35"/>
    <x v="0"/>
    <s v="Ngozi Eze"/>
    <x v="0"/>
    <x v="10"/>
    <x v="2"/>
    <n v="1"/>
    <n v="28000"/>
    <n v="18500"/>
    <n v="0"/>
    <n v="3"/>
    <s v="CUS-2044"/>
    <n v="250000"/>
    <s v="Abuja"/>
    <x v="2"/>
    <x v="2"/>
    <n v="28000"/>
    <n v="9500"/>
    <s v="2025-06"/>
  </r>
  <r>
    <s v="ORD-7120"/>
    <x v="36"/>
    <x v="0"/>
    <s v="Ngozi Eze"/>
    <x v="0"/>
    <x v="6"/>
    <x v="4"/>
    <n v="1"/>
    <n v="6800"/>
    <n v="3900"/>
    <n v="0"/>
    <n v="7"/>
    <s v="CUS-2102"/>
    <n v="250000"/>
    <s v="Abuja"/>
    <x v="0"/>
    <x v="0"/>
    <n v="6800"/>
    <n v="2900"/>
    <s v="2025-06"/>
  </r>
  <r>
    <s v="ORD-7045"/>
    <x v="37"/>
    <x v="0"/>
    <s v="Ngozi Eze"/>
    <x v="2"/>
    <x v="9"/>
    <x v="5"/>
    <n v="1"/>
    <n v="18500"/>
    <n v="11800"/>
    <n v="0"/>
    <n v="2"/>
    <s v="CUS-2044"/>
    <n v="250000"/>
    <s v="Abuja"/>
    <x v="2"/>
    <x v="2"/>
    <n v="18500"/>
    <n v="6700"/>
    <s v="2025-06"/>
  </r>
  <r>
    <s v="ORD-7147"/>
    <x v="38"/>
    <x v="0"/>
    <s v="Ngozi Eze"/>
    <x v="0"/>
    <x v="4"/>
    <x v="1"/>
    <n v="2"/>
    <n v="27500"/>
    <n v="16500"/>
    <n v="0.05"/>
    <n v="4"/>
    <s v="CUS-2070"/>
    <n v="150000"/>
    <s v="Abuja"/>
    <x v="7"/>
    <x v="1"/>
    <n v="52250"/>
    <n v="19250"/>
    <s v="2025-06"/>
  </r>
  <r>
    <s v="ORD-7230"/>
    <x v="38"/>
    <x v="0"/>
    <s v="Ngozi Eze"/>
    <x v="3"/>
    <x v="1"/>
    <x v="1"/>
    <n v="1"/>
    <n v="41000"/>
    <n v="25000"/>
    <n v="0"/>
    <n v="3"/>
    <s v="CUS-2116"/>
    <n v="500000"/>
    <s v="Abuja"/>
    <x v="5"/>
    <x v="2"/>
    <n v="41000"/>
    <n v="16000"/>
    <s v="2025-06"/>
  </r>
  <r>
    <s v="ORD-7196"/>
    <x v="39"/>
    <x v="0"/>
    <s v="Ngozi Eze"/>
    <x v="2"/>
    <x v="9"/>
    <x v="5"/>
    <n v="1"/>
    <n v="18500"/>
    <n v="11800"/>
    <n v="0"/>
    <n v="3"/>
    <s v="CUS-2116"/>
    <n v="500000"/>
    <s v="Abuja"/>
    <x v="5"/>
    <x v="2"/>
    <n v="18500"/>
    <n v="6700"/>
    <s v="2025-06"/>
  </r>
  <r>
    <s v="ORD-7218"/>
    <x v="40"/>
    <x v="0"/>
    <s v="Ngozi Eze"/>
    <x v="2"/>
    <x v="7"/>
    <x v="0"/>
    <n v="5"/>
    <n v="46000"/>
    <n v="39000"/>
    <n v="0"/>
    <n v="3"/>
    <s v="CUS-2032"/>
    <n v="500000"/>
    <s v="Abuja"/>
    <x v="1"/>
    <x v="1"/>
    <n v="230000"/>
    <n v="35000"/>
    <s v="2025-07"/>
  </r>
  <r>
    <s v="ORD-7364"/>
    <x v="41"/>
    <x v="0"/>
    <s v="Ngozi Eze"/>
    <x v="2"/>
    <x v="7"/>
    <x v="0"/>
    <n v="5"/>
    <n v="46000"/>
    <n v="39000"/>
    <n v="0"/>
    <n v="4"/>
    <s v="CUS-2008"/>
    <n v="500000"/>
    <s v="Abuja"/>
    <x v="14"/>
    <x v="1"/>
    <n v="230000"/>
    <n v="35000"/>
    <s v="2025-07"/>
  </r>
  <r>
    <s v="ORD-7397"/>
    <x v="42"/>
    <x v="0"/>
    <s v="Ngozi Eze"/>
    <x v="2"/>
    <x v="6"/>
    <x v="4"/>
    <n v="2"/>
    <n v="6800"/>
    <n v="3900"/>
    <n v="0"/>
    <n v="5"/>
    <s v="CUS-2058"/>
    <n v="250000"/>
    <s v="Abuja"/>
    <x v="18"/>
    <x v="1"/>
    <n v="13600"/>
    <n v="5800"/>
    <s v="2025-07"/>
  </r>
  <r>
    <s v="ORD-7075"/>
    <x v="43"/>
    <x v="0"/>
    <s v="Ngozi Eze"/>
    <x v="2"/>
    <x v="3"/>
    <x v="3"/>
    <n v="1"/>
    <n v="32000"/>
    <n v="21000"/>
    <n v="0"/>
    <n v="2"/>
    <s v="CUS-2045"/>
    <n v="250000"/>
    <s v="Abuja"/>
    <x v="12"/>
    <x v="1"/>
    <n v="32000"/>
    <n v="11000"/>
    <s v="2025-07"/>
  </r>
  <r>
    <s v="ORD-7178"/>
    <x v="43"/>
    <x v="0"/>
    <s v="Ngozi Eze"/>
    <x v="1"/>
    <x v="4"/>
    <x v="1"/>
    <n v="2"/>
    <n v="27500"/>
    <n v="16500"/>
    <n v="0"/>
    <n v="7"/>
    <s v="CUS-2052"/>
    <n v="500000"/>
    <s v="Abuja"/>
    <x v="11"/>
    <x v="1"/>
    <n v="55000"/>
    <n v="22000"/>
    <s v="2025-07"/>
  </r>
  <r>
    <s v="ORD-7093"/>
    <x v="44"/>
    <x v="0"/>
    <s v="Ngozi Eze"/>
    <x v="0"/>
    <x v="6"/>
    <x v="4"/>
    <n v="4"/>
    <n v="6800"/>
    <n v="3900"/>
    <n v="0"/>
    <n v="2"/>
    <s v="CUS-2052"/>
    <n v="500000"/>
    <s v="Abuja"/>
    <x v="11"/>
    <x v="1"/>
    <n v="27200"/>
    <n v="11600"/>
    <s v="2025-07"/>
  </r>
  <r>
    <s v="ORD-7200"/>
    <x v="45"/>
    <x v="0"/>
    <s v="Ngozi Eze"/>
    <x v="2"/>
    <x v="6"/>
    <x v="4"/>
    <n v="5"/>
    <n v="6800"/>
    <n v="3900"/>
    <n v="0"/>
    <n v="2"/>
    <s v="CUS-2109"/>
    <n v="50000"/>
    <s v="Abuja"/>
    <x v="4"/>
    <x v="1"/>
    <n v="34000"/>
    <n v="14500"/>
    <s v="2025-07"/>
  </r>
  <r>
    <s v="ORD-7081"/>
    <x v="46"/>
    <x v="0"/>
    <s v="Ngozi Eze"/>
    <x v="3"/>
    <x v="4"/>
    <x v="1"/>
    <n v="1"/>
    <n v="27500"/>
    <n v="16500"/>
    <n v="0"/>
    <n v="5"/>
    <s v="CUS-2058"/>
    <n v="250000"/>
    <s v="Abuja"/>
    <x v="18"/>
    <x v="1"/>
    <n v="27500"/>
    <n v="11000"/>
    <s v="2025-07"/>
  </r>
  <r>
    <s v="ORD-7094"/>
    <x v="47"/>
    <x v="0"/>
    <s v="Ngozi Eze"/>
    <x v="3"/>
    <x v="10"/>
    <x v="2"/>
    <n v="2"/>
    <n v="28000"/>
    <n v="18500"/>
    <n v="0"/>
    <n v="3"/>
    <s v="CUS-2090"/>
    <n v="50000"/>
    <s v="Abuja"/>
    <x v="8"/>
    <x v="0"/>
    <n v="56000"/>
    <n v="19000"/>
    <s v="2025-08"/>
  </r>
  <r>
    <s v="ORD-7148"/>
    <x v="48"/>
    <x v="0"/>
    <s v="Ngozi Eze"/>
    <x v="1"/>
    <x v="8"/>
    <x v="5"/>
    <n v="3"/>
    <n v="15500"/>
    <n v="9900"/>
    <n v="0"/>
    <n v="1"/>
    <s v="CUS-2046"/>
    <n v="150000"/>
    <s v="Abuja"/>
    <x v="13"/>
    <x v="2"/>
    <n v="46500"/>
    <n v="16800"/>
    <s v="2025-08"/>
  </r>
  <r>
    <s v="ORD-7261"/>
    <x v="48"/>
    <x v="0"/>
    <s v="Ngozi Eze"/>
    <x v="0"/>
    <x v="4"/>
    <x v="1"/>
    <n v="3"/>
    <n v="27500"/>
    <n v="16500"/>
    <n v="0"/>
    <n v="1"/>
    <s v="CUS-2109"/>
    <n v="50000"/>
    <s v="Abuja"/>
    <x v="4"/>
    <x v="1"/>
    <n v="82500"/>
    <n v="33000"/>
    <s v="2025-08"/>
  </r>
  <r>
    <s v="ORD-7092"/>
    <x v="49"/>
    <x v="0"/>
    <s v="Ngozi Eze"/>
    <x v="0"/>
    <x v="3"/>
    <x v="3"/>
    <n v="1"/>
    <n v="32000"/>
    <n v="21000"/>
    <n v="0"/>
    <n v="10"/>
    <s v="CUS-2040"/>
    <n v="100000"/>
    <s v="Abuja"/>
    <x v="17"/>
    <x v="1"/>
    <n v="32000"/>
    <n v="11000"/>
    <s v="2025-08"/>
  </r>
  <r>
    <s v="ORD-7134"/>
    <x v="50"/>
    <x v="0"/>
    <s v="Ngozi Eze"/>
    <x v="3"/>
    <x v="3"/>
    <x v="3"/>
    <n v="2"/>
    <n v="32000"/>
    <n v="21000"/>
    <n v="0.1"/>
    <n v="2"/>
    <s v="CUS-2098"/>
    <n v="100000"/>
    <s v="Abuja"/>
    <x v="19"/>
    <x v="1"/>
    <n v="57600"/>
    <n v="15600"/>
    <s v="2025-08"/>
  </r>
  <r>
    <s v="ORD-7406"/>
    <x v="51"/>
    <x v="0"/>
    <s v="Ngozi Eze"/>
    <x v="0"/>
    <x v="2"/>
    <x v="2"/>
    <n v="4"/>
    <n v="12000"/>
    <n v="7200"/>
    <n v="0"/>
    <n v="3"/>
    <s v="CUS-2040"/>
    <n v="100000"/>
    <s v="Abuja"/>
    <x v="17"/>
    <x v="1"/>
    <n v="48000"/>
    <n v="19200"/>
    <s v="2025-08"/>
  </r>
  <r>
    <s v="ORD-7183"/>
    <x v="52"/>
    <x v="0"/>
    <s v="Ngozi Eze"/>
    <x v="0"/>
    <x v="7"/>
    <x v="0"/>
    <n v="2"/>
    <n v="46000"/>
    <n v="39000"/>
    <n v="0"/>
    <n v="4"/>
    <s v="CUS-2094"/>
    <n v="150000"/>
    <s v="Abuja"/>
    <x v="16"/>
    <x v="1"/>
    <n v="92000"/>
    <n v="14000"/>
    <s v="2025-08"/>
  </r>
  <r>
    <s v="ORD-7319"/>
    <x v="52"/>
    <x v="0"/>
    <s v="Ngozi Eze"/>
    <x v="0"/>
    <x v="4"/>
    <x v="1"/>
    <n v="1"/>
    <n v="27500"/>
    <n v="16500"/>
    <n v="0"/>
    <n v="1"/>
    <s v="CUS-2094"/>
    <n v="150000"/>
    <s v="Abuja"/>
    <x v="16"/>
    <x v="1"/>
    <n v="27500"/>
    <n v="11000"/>
    <s v="2025-08"/>
  </r>
  <r>
    <s v="ORD-7026"/>
    <x v="53"/>
    <x v="0"/>
    <s v="Ngozi Eze"/>
    <x v="2"/>
    <x v="1"/>
    <x v="1"/>
    <n v="5"/>
    <n v="41000"/>
    <n v="25000"/>
    <n v="0"/>
    <n v="1"/>
    <s v="CUS-2107"/>
    <n v="500000"/>
    <s v="Abuja"/>
    <x v="9"/>
    <x v="0"/>
    <n v="205000"/>
    <n v="80000"/>
    <s v="2025-08"/>
  </r>
  <r>
    <s v="ORD-7089"/>
    <x v="54"/>
    <x v="0"/>
    <s v="Ngozi Eze"/>
    <x v="2"/>
    <x v="8"/>
    <x v="5"/>
    <n v="2"/>
    <n v="15500"/>
    <n v="9900"/>
    <n v="0"/>
    <n v="7"/>
    <s v="CUS-2109"/>
    <n v="50000"/>
    <s v="Abuja"/>
    <x v="4"/>
    <x v="1"/>
    <n v="31000"/>
    <n v="11200"/>
    <s v="2025-08"/>
  </r>
  <r>
    <s v="ORD-7270"/>
    <x v="55"/>
    <x v="0"/>
    <s v="Ngozi Eze"/>
    <x v="0"/>
    <x v="4"/>
    <x v="1"/>
    <n v="2"/>
    <n v="27500"/>
    <n v="16500"/>
    <n v="0"/>
    <n v="2"/>
    <s v="CUS-2116"/>
    <n v="500000"/>
    <s v="Abuja"/>
    <x v="5"/>
    <x v="2"/>
    <n v="55000"/>
    <n v="22000"/>
    <s v="2025-08"/>
  </r>
  <r>
    <s v="ORD-7380"/>
    <x v="55"/>
    <x v="0"/>
    <s v="Ngozi Eze"/>
    <x v="2"/>
    <x v="11"/>
    <x v="5"/>
    <n v="1"/>
    <n v="22000"/>
    <n v="13800"/>
    <n v="0.05"/>
    <n v="1"/>
    <s v="CUS-2008"/>
    <n v="500000"/>
    <s v="Abuja"/>
    <x v="14"/>
    <x v="1"/>
    <n v="20900"/>
    <n v="7100"/>
    <s v="2025-08"/>
  </r>
  <r>
    <s v="ORD-7136"/>
    <x v="56"/>
    <x v="0"/>
    <s v="Ngozi Eze"/>
    <x v="2"/>
    <x v="8"/>
    <x v="5"/>
    <n v="1"/>
    <n v="15500"/>
    <n v="9900"/>
    <n v="0"/>
    <n v="7"/>
    <s v="CUS-2102"/>
    <n v="250000"/>
    <s v="Abuja"/>
    <x v="0"/>
    <x v="0"/>
    <n v="15500"/>
    <n v="5600"/>
    <s v="2025-08"/>
  </r>
  <r>
    <s v="ORD-7130"/>
    <x v="57"/>
    <x v="0"/>
    <s v="Ngozi Eze"/>
    <x v="2"/>
    <x v="4"/>
    <x v="1"/>
    <n v="2"/>
    <n v="27500"/>
    <n v="16500"/>
    <n v="0.05"/>
    <n v="1"/>
    <s v="CUS-2090"/>
    <n v="50000"/>
    <s v="Abuja"/>
    <x v="8"/>
    <x v="0"/>
    <n v="52250"/>
    <n v="19250"/>
    <s v="2025-09"/>
  </r>
  <r>
    <s v="ORD-7414"/>
    <x v="58"/>
    <x v="0"/>
    <s v="Ngozi Eze"/>
    <x v="0"/>
    <x v="9"/>
    <x v="5"/>
    <n v="1"/>
    <n v="18500"/>
    <n v="11800"/>
    <n v="0"/>
    <n v="2"/>
    <s v="CUS-2098"/>
    <n v="100000"/>
    <s v="Abuja"/>
    <x v="19"/>
    <x v="1"/>
    <n v="18500"/>
    <n v="6700"/>
    <s v="2025-09"/>
  </r>
  <r>
    <s v="ORD-7322"/>
    <x v="59"/>
    <x v="0"/>
    <s v="Ngozi Eze"/>
    <x v="2"/>
    <x v="9"/>
    <x v="5"/>
    <n v="2"/>
    <n v="18500"/>
    <n v="11800"/>
    <n v="0"/>
    <n v="2"/>
    <s v="CUS-2032"/>
    <n v="500000"/>
    <s v="Abuja"/>
    <x v="1"/>
    <x v="1"/>
    <n v="37000"/>
    <n v="13400"/>
    <s v="2025-09"/>
  </r>
  <r>
    <s v="ORD-7146"/>
    <x v="60"/>
    <x v="0"/>
    <s v="Ngozi Eze"/>
    <x v="2"/>
    <x v="1"/>
    <x v="1"/>
    <n v="10"/>
    <n v="41000"/>
    <n v="25000"/>
    <n v="0.05"/>
    <n v="1"/>
    <s v="CUS-2008"/>
    <n v="500000"/>
    <s v="Abuja"/>
    <x v="14"/>
    <x v="1"/>
    <n v="389500"/>
    <n v="139500"/>
    <s v="2025-10"/>
  </r>
  <r>
    <s v="ORD-7390"/>
    <x v="61"/>
    <x v="0"/>
    <s v="Ngozi Eze"/>
    <x v="0"/>
    <x v="0"/>
    <x v="0"/>
    <n v="4"/>
    <n v="9800"/>
    <n v="7600"/>
    <n v="0"/>
    <n v="4"/>
    <s v="CUS-2008"/>
    <n v="500000"/>
    <s v="Abuja"/>
    <x v="14"/>
    <x v="1"/>
    <n v="39200"/>
    <n v="8800"/>
    <s v="2025-10"/>
  </r>
  <r>
    <s v="ORD-7310"/>
    <x v="62"/>
    <x v="0"/>
    <s v="Ngozi Eze"/>
    <x v="0"/>
    <x v="10"/>
    <x v="2"/>
    <n v="4"/>
    <n v="28000"/>
    <n v="18500"/>
    <n v="0"/>
    <n v="2"/>
    <s v="CUS-2098"/>
    <n v="100000"/>
    <s v="Abuja"/>
    <x v="19"/>
    <x v="1"/>
    <n v="112000"/>
    <n v="38000"/>
    <s v="2025-10"/>
  </r>
  <r>
    <s v="ORD-7353"/>
    <x v="63"/>
    <x v="0"/>
    <s v="Ngozi Eze"/>
    <x v="2"/>
    <x v="1"/>
    <x v="1"/>
    <n v="2"/>
    <n v="41000"/>
    <n v="25000"/>
    <n v="0"/>
    <n v="2"/>
    <s v="CUS-2058"/>
    <n v="250000"/>
    <s v="Abuja"/>
    <x v="18"/>
    <x v="1"/>
    <n v="82000"/>
    <n v="32000"/>
    <s v="2025-10"/>
  </r>
  <r>
    <s v="ORD-7179"/>
    <x v="64"/>
    <x v="0"/>
    <s v="Ngozi Eze"/>
    <x v="0"/>
    <x v="1"/>
    <x v="1"/>
    <n v="1"/>
    <n v="41000"/>
    <n v="25000"/>
    <n v="0"/>
    <n v="4"/>
    <s v="CUS-2026"/>
    <n v="500000"/>
    <s v="Abuja"/>
    <x v="3"/>
    <x v="0"/>
    <n v="41000"/>
    <n v="16000"/>
    <s v="2025-10"/>
  </r>
  <r>
    <s v="ORD-7047"/>
    <x v="65"/>
    <x v="0"/>
    <s v="Ngozi Eze"/>
    <x v="0"/>
    <x v="6"/>
    <x v="4"/>
    <n v="10"/>
    <n v="6800"/>
    <n v="3900"/>
    <n v="0"/>
    <n v="1"/>
    <s v="CUS-2058"/>
    <n v="250000"/>
    <s v="Abuja"/>
    <x v="18"/>
    <x v="1"/>
    <n v="68000"/>
    <n v="29000"/>
    <s v="2025-10"/>
  </r>
  <r>
    <s v="ORD-7340"/>
    <x v="66"/>
    <x v="0"/>
    <s v="Ngozi Eze"/>
    <x v="1"/>
    <x v="2"/>
    <x v="2"/>
    <n v="2"/>
    <n v="12000"/>
    <n v="7200"/>
    <n v="0"/>
    <n v="2"/>
    <s v="CUS-2058"/>
    <n v="250000"/>
    <s v="Abuja"/>
    <x v="18"/>
    <x v="1"/>
    <n v="24000"/>
    <n v="9600"/>
    <s v="2025-10"/>
  </r>
  <r>
    <s v="ORD-7046"/>
    <x v="67"/>
    <x v="0"/>
    <s v="Ngozi Eze"/>
    <x v="0"/>
    <x v="11"/>
    <x v="5"/>
    <n v="1"/>
    <n v="22000"/>
    <n v="13800"/>
    <n v="0"/>
    <n v="1"/>
    <s v="CUS-2114"/>
    <n v="100000"/>
    <s v="Abuja"/>
    <x v="6"/>
    <x v="1"/>
    <n v="22000"/>
    <n v="8200"/>
    <s v="2025-10"/>
  </r>
  <r>
    <s v="ORD-7050"/>
    <x v="68"/>
    <x v="0"/>
    <s v="Ngozi Eze"/>
    <x v="3"/>
    <x v="4"/>
    <x v="1"/>
    <n v="4"/>
    <n v="27500"/>
    <n v="16500"/>
    <n v="0"/>
    <n v="7"/>
    <s v="CUS-2008"/>
    <n v="500000"/>
    <s v="Abuja"/>
    <x v="14"/>
    <x v="1"/>
    <n v="110000"/>
    <n v="44000"/>
    <s v="2025-11"/>
  </r>
  <r>
    <s v="ORD-7294"/>
    <x v="69"/>
    <x v="0"/>
    <s v="Ngozi Eze"/>
    <x v="0"/>
    <x v="9"/>
    <x v="5"/>
    <n v="11"/>
    <n v="18500"/>
    <n v="11800"/>
    <n v="0"/>
    <n v="5"/>
    <s v="CUS-2008"/>
    <n v="500000"/>
    <s v="Abuja"/>
    <x v="14"/>
    <x v="1"/>
    <n v="203500"/>
    <n v="73700"/>
    <s v="2025-11"/>
  </r>
  <r>
    <s v="ORD-7336"/>
    <x v="70"/>
    <x v="0"/>
    <s v="Ngozi Eze"/>
    <x v="2"/>
    <x v="5"/>
    <x v="3"/>
    <n v="1"/>
    <n v="24000"/>
    <n v="14500"/>
    <n v="0"/>
    <n v="3"/>
    <s v="CUS-2094"/>
    <n v="150000"/>
    <s v="Abuja"/>
    <x v="16"/>
    <x v="1"/>
    <n v="24000"/>
    <n v="9500"/>
    <s v="2025-11"/>
  </r>
  <r>
    <s v="ORD-7280"/>
    <x v="71"/>
    <x v="0"/>
    <s v="Ngozi Eze"/>
    <x v="2"/>
    <x v="10"/>
    <x v="2"/>
    <n v="2"/>
    <n v="28000"/>
    <n v="18500"/>
    <n v="0"/>
    <n v="3"/>
    <s v="CUS-2087"/>
    <n v="150000"/>
    <s v="Abuja"/>
    <x v="15"/>
    <x v="0"/>
    <n v="56000"/>
    <n v="19000"/>
    <s v="2025-11"/>
  </r>
  <r>
    <s v="ORD-7293"/>
    <x v="71"/>
    <x v="0"/>
    <s v="Ngozi Eze"/>
    <x v="0"/>
    <x v="7"/>
    <x v="0"/>
    <n v="3"/>
    <n v="46000"/>
    <n v="39000"/>
    <n v="0"/>
    <n v="4"/>
    <s v="CUS-2116"/>
    <n v="500000"/>
    <s v="Abuja"/>
    <x v="5"/>
    <x v="2"/>
    <n v="138000"/>
    <n v="21000"/>
    <s v="2025-11"/>
  </r>
  <r>
    <s v="ORD-7060"/>
    <x v="72"/>
    <x v="0"/>
    <s v="Ngozi Eze"/>
    <x v="2"/>
    <x v="0"/>
    <x v="0"/>
    <n v="2"/>
    <n v="9800"/>
    <n v="7600"/>
    <n v="0"/>
    <n v="3"/>
    <s v="CUS-2090"/>
    <n v="50000"/>
    <s v="Abuja"/>
    <x v="8"/>
    <x v="0"/>
    <n v="19600"/>
    <n v="4400"/>
    <s v="2025-12"/>
  </r>
  <r>
    <s v="ORD-7309"/>
    <x v="73"/>
    <x v="0"/>
    <s v="Ngozi Eze"/>
    <x v="1"/>
    <x v="4"/>
    <x v="1"/>
    <n v="1"/>
    <n v="27500"/>
    <n v="16500"/>
    <n v="0"/>
    <n v="5"/>
    <s v="CUS-2044"/>
    <n v="250000"/>
    <s v="Abuja"/>
    <x v="2"/>
    <x v="2"/>
    <n v="27500"/>
    <n v="11000"/>
    <s v="2025-12"/>
  </r>
  <r>
    <s v="ORD-7103"/>
    <x v="0"/>
    <x v="1"/>
    <s v="Segun Adeyemi"/>
    <x v="1"/>
    <x v="9"/>
    <x v="5"/>
    <n v="4"/>
    <n v="18500"/>
    <n v="11800"/>
    <n v="0"/>
    <n v="4"/>
    <s v="CUS-2072"/>
    <n v="50000"/>
    <s v="Ibadan"/>
    <x v="20"/>
    <x v="2"/>
    <n v="74000"/>
    <n v="26800"/>
    <s v="2025-01"/>
  </r>
  <r>
    <s v="ORD-7079"/>
    <x v="4"/>
    <x v="1"/>
    <s v="Segun Adeyemi"/>
    <x v="2"/>
    <x v="10"/>
    <x v="2"/>
    <n v="2"/>
    <n v="28000"/>
    <n v="18500"/>
    <n v="0.05"/>
    <n v="7"/>
    <s v="CUS-2075"/>
    <n v="50000"/>
    <s v="Ibadan"/>
    <x v="21"/>
    <x v="2"/>
    <n v="53200"/>
    <n v="16200"/>
    <s v="2025-01"/>
  </r>
  <r>
    <s v="ORD-7065"/>
    <x v="5"/>
    <x v="1"/>
    <s v="Segun Adeyemi"/>
    <x v="2"/>
    <x v="3"/>
    <x v="3"/>
    <n v="1"/>
    <n v="32000"/>
    <n v="21000"/>
    <n v="0.1"/>
    <n v="2"/>
    <s v="CUS-2095"/>
    <n v="250000"/>
    <s v="Ibadan"/>
    <x v="22"/>
    <x v="0"/>
    <n v="28800"/>
    <n v="7800"/>
    <s v="2025-01"/>
  </r>
  <r>
    <s v="ORD-7247"/>
    <x v="6"/>
    <x v="1"/>
    <s v="Segun Adeyemi"/>
    <x v="1"/>
    <x v="1"/>
    <x v="1"/>
    <n v="3"/>
    <n v="41000"/>
    <n v="25000"/>
    <n v="0"/>
    <n v="5"/>
    <s v="CUS-2112"/>
    <n v="150000"/>
    <s v="Ibadan"/>
    <x v="23"/>
    <x v="1"/>
    <n v="123000"/>
    <n v="48000"/>
    <s v="2025-01"/>
  </r>
  <r>
    <s v="ORD-7006"/>
    <x v="74"/>
    <x v="1"/>
    <s v="Segun Adeyemi"/>
    <x v="0"/>
    <x v="9"/>
    <x v="5"/>
    <n v="5"/>
    <n v="18500"/>
    <n v="11800"/>
    <n v="0"/>
    <n v="1"/>
    <s v="CUS-2051"/>
    <n v="100000"/>
    <s v="Ibadan"/>
    <x v="24"/>
    <x v="2"/>
    <n v="92500"/>
    <n v="33500"/>
    <s v="2025-01"/>
  </r>
  <r>
    <s v="ORD-7411"/>
    <x v="75"/>
    <x v="1"/>
    <s v="Segun Adeyemi"/>
    <x v="3"/>
    <x v="10"/>
    <x v="2"/>
    <n v="4"/>
    <n v="28000"/>
    <n v="18500"/>
    <n v="0"/>
    <n v="2"/>
    <s v="CUS-2072"/>
    <n v="50000"/>
    <s v="Ibadan"/>
    <x v="20"/>
    <x v="2"/>
    <n v="112000"/>
    <n v="38000"/>
    <s v="2025-02"/>
  </r>
  <r>
    <s v="ORD-7099"/>
    <x v="76"/>
    <x v="1"/>
    <s v="Segun Adeyemi"/>
    <x v="3"/>
    <x v="3"/>
    <x v="3"/>
    <n v="1"/>
    <n v="32000"/>
    <n v="21000"/>
    <n v="0"/>
    <n v="10"/>
    <s v="CUS-2075"/>
    <n v="50000"/>
    <s v="Ibadan"/>
    <x v="21"/>
    <x v="2"/>
    <n v="32000"/>
    <n v="11000"/>
    <s v="2025-02"/>
  </r>
  <r>
    <s v="ORD-7401"/>
    <x v="16"/>
    <x v="1"/>
    <s v="Segun Adeyemi"/>
    <x v="1"/>
    <x v="7"/>
    <x v="0"/>
    <n v="1"/>
    <n v="46000"/>
    <n v="39000"/>
    <n v="0"/>
    <n v="1"/>
    <s v="CUS-2075"/>
    <n v="50000"/>
    <s v="Ibadan"/>
    <x v="21"/>
    <x v="2"/>
    <n v="46000"/>
    <n v="7000"/>
    <s v="2025-03"/>
  </r>
  <r>
    <s v="ORD-7298"/>
    <x v="77"/>
    <x v="1"/>
    <s v="Segun Adeyemi"/>
    <x v="2"/>
    <x v="4"/>
    <x v="1"/>
    <n v="2"/>
    <n v="27500"/>
    <n v="16500"/>
    <n v="0.05"/>
    <n v="4"/>
    <s v="CUS-2112"/>
    <n v="150000"/>
    <s v="Ibadan"/>
    <x v="23"/>
    <x v="1"/>
    <n v="52250"/>
    <n v="19250"/>
    <s v="2025-03"/>
  </r>
  <r>
    <s v="ORD-7157"/>
    <x v="78"/>
    <x v="1"/>
    <s v="Segun Adeyemi"/>
    <x v="0"/>
    <x v="8"/>
    <x v="5"/>
    <n v="5"/>
    <n v="15500"/>
    <n v="9900"/>
    <n v="0"/>
    <n v="2"/>
    <s v="CUS-2112"/>
    <n v="150000"/>
    <s v="Ibadan"/>
    <x v="23"/>
    <x v="1"/>
    <n v="77500"/>
    <n v="28000"/>
    <s v="2025-03"/>
  </r>
  <r>
    <s v="ORD-7359"/>
    <x v="79"/>
    <x v="1"/>
    <s v="Segun Adeyemi"/>
    <x v="1"/>
    <x v="9"/>
    <x v="5"/>
    <n v="8"/>
    <n v="18500"/>
    <n v="11800"/>
    <n v="0"/>
    <n v="3"/>
    <s v="CUS-2003"/>
    <n v="250000"/>
    <s v="Ibadan"/>
    <x v="25"/>
    <x v="1"/>
    <n v="148000"/>
    <n v="53600"/>
    <s v="2025-03"/>
  </r>
  <r>
    <s v="ORD-7155"/>
    <x v="80"/>
    <x v="1"/>
    <s v="Segun Adeyemi"/>
    <x v="2"/>
    <x v="3"/>
    <x v="3"/>
    <n v="3"/>
    <n v="32000"/>
    <n v="21000"/>
    <n v="0"/>
    <n v="2"/>
    <s v="CUS-2095"/>
    <n v="250000"/>
    <s v="Ibadan"/>
    <x v="22"/>
    <x v="0"/>
    <n v="96000"/>
    <n v="33000"/>
    <s v="2025-04"/>
  </r>
  <r>
    <s v="ORD-7175"/>
    <x v="81"/>
    <x v="1"/>
    <s v="Segun Adeyemi"/>
    <x v="3"/>
    <x v="7"/>
    <x v="0"/>
    <n v="3"/>
    <n v="46000"/>
    <n v="39000"/>
    <n v="0"/>
    <n v="2"/>
    <s v="CUS-2049"/>
    <n v="50000"/>
    <s v="Ibadan"/>
    <x v="26"/>
    <x v="1"/>
    <n v="138000"/>
    <n v="21000"/>
    <s v="2025-04"/>
  </r>
  <r>
    <s v="ORD-7352"/>
    <x v="20"/>
    <x v="1"/>
    <s v="Segun Adeyemi"/>
    <x v="3"/>
    <x v="8"/>
    <x v="5"/>
    <n v="2"/>
    <n v="15500"/>
    <n v="9900"/>
    <n v="0.05"/>
    <n v="2"/>
    <s v="CUS-2110"/>
    <n v="150000"/>
    <s v="Ibadan"/>
    <x v="27"/>
    <x v="0"/>
    <n v="29450"/>
    <n v="9650"/>
    <s v="2025-04"/>
  </r>
  <r>
    <s v="ORD-7378"/>
    <x v="82"/>
    <x v="1"/>
    <s v="Segun Adeyemi"/>
    <x v="3"/>
    <x v="3"/>
    <x v="3"/>
    <n v="1"/>
    <n v="32000"/>
    <n v="21000"/>
    <n v="0"/>
    <n v="3"/>
    <s v="CUS-2050"/>
    <n v="150000"/>
    <s v="Ibadan"/>
    <x v="28"/>
    <x v="1"/>
    <n v="32000"/>
    <n v="11000"/>
    <s v="2025-04"/>
  </r>
  <r>
    <s v="ORD-7131"/>
    <x v="23"/>
    <x v="1"/>
    <s v="Segun Adeyemi"/>
    <x v="0"/>
    <x v="7"/>
    <x v="0"/>
    <n v="8"/>
    <n v="46000"/>
    <n v="39000"/>
    <n v="0"/>
    <n v="2"/>
    <s v="CUS-2049"/>
    <n v="50000"/>
    <s v="Ibadan"/>
    <x v="26"/>
    <x v="1"/>
    <n v="368000"/>
    <n v="56000"/>
    <s v="2025-04"/>
  </r>
  <r>
    <s v="ORD-7032"/>
    <x v="83"/>
    <x v="1"/>
    <s v="Segun Adeyemi"/>
    <x v="2"/>
    <x v="1"/>
    <x v="1"/>
    <n v="3"/>
    <n v="41000"/>
    <n v="25000"/>
    <n v="0"/>
    <n v="2"/>
    <s v="CUS-2095"/>
    <n v="250000"/>
    <s v="Ibadan"/>
    <x v="22"/>
    <x v="0"/>
    <n v="123000"/>
    <n v="48000"/>
    <s v="2025-04"/>
  </r>
  <r>
    <s v="ORD-7408"/>
    <x v="83"/>
    <x v="1"/>
    <s v="Segun Adeyemi"/>
    <x v="3"/>
    <x v="8"/>
    <x v="5"/>
    <n v="3"/>
    <n v="15500"/>
    <n v="9900"/>
    <n v="0"/>
    <n v="2"/>
    <s v="CUS-2050"/>
    <n v="150000"/>
    <s v="Ibadan"/>
    <x v="28"/>
    <x v="1"/>
    <n v="46500"/>
    <n v="16800"/>
    <s v="2025-04"/>
  </r>
  <r>
    <s v="ORD-7190"/>
    <x v="84"/>
    <x v="1"/>
    <s v="Segun Adeyemi"/>
    <x v="3"/>
    <x v="11"/>
    <x v="5"/>
    <n v="4"/>
    <n v="22000"/>
    <n v="13800"/>
    <n v="0"/>
    <n v="3"/>
    <s v="CUS-2075"/>
    <n v="50000"/>
    <s v="Ibadan"/>
    <x v="21"/>
    <x v="2"/>
    <n v="88000"/>
    <n v="32800"/>
    <s v="2025-05"/>
  </r>
  <r>
    <s v="ORD-7125"/>
    <x v="85"/>
    <x v="1"/>
    <s v="Segun Adeyemi"/>
    <x v="2"/>
    <x v="4"/>
    <x v="1"/>
    <n v="4"/>
    <n v="27500"/>
    <n v="16500"/>
    <n v="0"/>
    <n v="7"/>
    <s v="CUS-2049"/>
    <n v="50000"/>
    <s v="Ibadan"/>
    <x v="26"/>
    <x v="1"/>
    <n v="110000"/>
    <n v="44000"/>
    <s v="2025-05"/>
  </r>
  <r>
    <s v="ORD-7185"/>
    <x v="86"/>
    <x v="1"/>
    <s v="Segun Adeyemi"/>
    <x v="1"/>
    <x v="10"/>
    <x v="2"/>
    <n v="2"/>
    <n v="28000"/>
    <n v="18500"/>
    <n v="0"/>
    <n v="1"/>
    <s v="CUS-2012"/>
    <n v="250000"/>
    <s v="Ibadan"/>
    <x v="29"/>
    <x v="1"/>
    <n v="56000"/>
    <n v="19000"/>
    <s v="2025-05"/>
  </r>
  <r>
    <s v="ORD-7307"/>
    <x v="87"/>
    <x v="1"/>
    <s v="Segun Adeyemi"/>
    <x v="3"/>
    <x v="4"/>
    <x v="1"/>
    <n v="1"/>
    <n v="27500"/>
    <n v="16500"/>
    <n v="0"/>
    <n v="3"/>
    <s v="CUS-2113"/>
    <n v="100000"/>
    <s v="Ibadan"/>
    <x v="30"/>
    <x v="1"/>
    <n v="27500"/>
    <n v="11000"/>
    <s v="2025-05"/>
  </r>
  <r>
    <s v="ORD-7043"/>
    <x v="88"/>
    <x v="1"/>
    <s v="Segun Adeyemi"/>
    <x v="2"/>
    <x v="3"/>
    <x v="3"/>
    <n v="1"/>
    <n v="32000"/>
    <n v="21000"/>
    <n v="0"/>
    <n v="1"/>
    <s v="CUS-2074"/>
    <n v="100000"/>
    <s v="Ibadan"/>
    <x v="31"/>
    <x v="0"/>
    <n v="32000"/>
    <n v="11000"/>
    <s v="2025-05"/>
  </r>
  <r>
    <s v="ORD-7358"/>
    <x v="89"/>
    <x v="1"/>
    <s v="Segun Adeyemi"/>
    <x v="2"/>
    <x v="3"/>
    <x v="3"/>
    <n v="2"/>
    <n v="32000"/>
    <n v="21000"/>
    <n v="0"/>
    <n v="1"/>
    <s v="CUS-2049"/>
    <n v="50000"/>
    <s v="Ibadan"/>
    <x v="26"/>
    <x v="1"/>
    <n v="64000"/>
    <n v="22000"/>
    <s v="2025-06"/>
  </r>
  <r>
    <s v="ORD-7149"/>
    <x v="90"/>
    <x v="1"/>
    <s v="Segun Adeyemi"/>
    <x v="0"/>
    <x v="4"/>
    <x v="1"/>
    <n v="4"/>
    <n v="27500"/>
    <n v="16500"/>
    <n v="0"/>
    <n v="3"/>
    <s v="CUS-2050"/>
    <n v="150000"/>
    <s v="Ibadan"/>
    <x v="28"/>
    <x v="1"/>
    <n v="110000"/>
    <n v="44000"/>
    <s v="2025-06"/>
  </r>
  <r>
    <s v="ORD-7176"/>
    <x v="91"/>
    <x v="1"/>
    <s v="Segun Adeyemi"/>
    <x v="2"/>
    <x v="7"/>
    <x v="0"/>
    <n v="1"/>
    <n v="46000"/>
    <n v="39000"/>
    <n v="0"/>
    <n v="2"/>
    <s v="CUS-2049"/>
    <n v="50000"/>
    <s v="Ibadan"/>
    <x v="26"/>
    <x v="1"/>
    <n v="46000"/>
    <n v="7000"/>
    <s v="2025-06"/>
  </r>
  <r>
    <s v="ORD-7316"/>
    <x v="39"/>
    <x v="1"/>
    <s v="Segun Adeyemi"/>
    <x v="1"/>
    <x v="11"/>
    <x v="5"/>
    <n v="3"/>
    <n v="22000"/>
    <n v="13800"/>
    <n v="0"/>
    <n v="1"/>
    <s v="CUS-2075"/>
    <n v="50000"/>
    <s v="Ibadan"/>
    <x v="21"/>
    <x v="2"/>
    <n v="66000"/>
    <n v="24600"/>
    <s v="2025-06"/>
  </r>
  <r>
    <s v="ORD-7010"/>
    <x v="92"/>
    <x v="1"/>
    <s v="Segun Adeyemi"/>
    <x v="3"/>
    <x v="10"/>
    <x v="2"/>
    <n v="10"/>
    <n v="28000"/>
    <n v="18500"/>
    <n v="0"/>
    <n v="10"/>
    <s v="CUS-2074"/>
    <n v="100000"/>
    <s v="Ibadan"/>
    <x v="31"/>
    <x v="0"/>
    <n v="280000"/>
    <n v="95000"/>
    <s v="2025-06"/>
  </r>
  <r>
    <s v="ORD-7267"/>
    <x v="92"/>
    <x v="1"/>
    <s v="Segun Adeyemi"/>
    <x v="1"/>
    <x v="10"/>
    <x v="2"/>
    <n v="3"/>
    <n v="28000"/>
    <n v="18500"/>
    <n v="0.1"/>
    <n v="4"/>
    <s v="CUS-2051"/>
    <n v="100000"/>
    <s v="Ibadan"/>
    <x v="24"/>
    <x v="2"/>
    <n v="75600"/>
    <n v="20100"/>
    <s v="2025-06"/>
  </r>
  <r>
    <s v="ORD-7096"/>
    <x v="93"/>
    <x v="1"/>
    <s v="Segun Adeyemi"/>
    <x v="0"/>
    <x v="2"/>
    <x v="2"/>
    <n v="3"/>
    <n v="12000"/>
    <n v="7200"/>
    <n v="0"/>
    <n v="3"/>
    <s v="CUS-2050"/>
    <n v="150000"/>
    <s v="Ibadan"/>
    <x v="28"/>
    <x v="1"/>
    <n v="36000"/>
    <n v="14400"/>
    <s v="2025-07"/>
  </r>
  <r>
    <s v="ORD-7318"/>
    <x v="93"/>
    <x v="1"/>
    <s v="Segun Adeyemi"/>
    <x v="0"/>
    <x v="2"/>
    <x v="2"/>
    <n v="1"/>
    <n v="12000"/>
    <n v="7200"/>
    <n v="0"/>
    <n v="2"/>
    <s v="CUS-2028"/>
    <n v="500000"/>
    <s v="Ibadan"/>
    <x v="32"/>
    <x v="1"/>
    <n v="12000"/>
    <n v="4800"/>
    <s v="2025-07"/>
  </r>
  <r>
    <s v="ORD-7100"/>
    <x v="40"/>
    <x v="1"/>
    <s v="Segun Adeyemi"/>
    <x v="2"/>
    <x v="2"/>
    <x v="2"/>
    <n v="5"/>
    <n v="12000"/>
    <n v="7200"/>
    <n v="0"/>
    <n v="4"/>
    <s v="CUS-2051"/>
    <n v="100000"/>
    <s v="Ibadan"/>
    <x v="24"/>
    <x v="2"/>
    <n v="60000"/>
    <n v="24000"/>
    <s v="2025-07"/>
  </r>
  <r>
    <s v="ORD-7416"/>
    <x v="94"/>
    <x v="1"/>
    <s v="Segun Adeyemi"/>
    <x v="2"/>
    <x v="7"/>
    <x v="0"/>
    <n v="2"/>
    <n v="46000"/>
    <n v="39000"/>
    <n v="0.05"/>
    <n v="4"/>
    <s v="CUS-2074"/>
    <n v="100000"/>
    <s v="Ibadan"/>
    <x v="31"/>
    <x v="0"/>
    <n v="87400"/>
    <n v="9400"/>
    <s v="2025-07"/>
  </r>
  <r>
    <s v="ORD-7153"/>
    <x v="95"/>
    <x v="1"/>
    <s v="Segun Adeyemi"/>
    <x v="3"/>
    <x v="2"/>
    <x v="2"/>
    <n v="1"/>
    <n v="12000"/>
    <n v="7200"/>
    <n v="0.05"/>
    <n v="1"/>
    <s v="CUS-2110"/>
    <n v="150000"/>
    <s v="Ibadan"/>
    <x v="27"/>
    <x v="0"/>
    <n v="11400"/>
    <n v="4200"/>
    <s v="2025-07"/>
  </r>
  <r>
    <s v="ORD-7063"/>
    <x v="43"/>
    <x v="1"/>
    <s v="Segun Adeyemi"/>
    <x v="2"/>
    <x v="10"/>
    <x v="2"/>
    <n v="1"/>
    <n v="28000"/>
    <n v="18500"/>
    <n v="0"/>
    <n v="4"/>
    <s v="CUS-2003"/>
    <n v="250000"/>
    <s v="Ibadan"/>
    <x v="25"/>
    <x v="1"/>
    <n v="28000"/>
    <n v="9500"/>
    <s v="2025-07"/>
  </r>
  <r>
    <s v="ORD-7302"/>
    <x v="96"/>
    <x v="1"/>
    <s v="Segun Adeyemi"/>
    <x v="2"/>
    <x v="10"/>
    <x v="2"/>
    <n v="2"/>
    <n v="28000"/>
    <n v="18500"/>
    <n v="0"/>
    <n v="2"/>
    <s v="CUS-2063"/>
    <n v="100000"/>
    <s v="Ibadan"/>
    <x v="33"/>
    <x v="0"/>
    <n v="56000"/>
    <n v="19000"/>
    <s v="2025-07"/>
  </r>
  <r>
    <s v="ORD-7086"/>
    <x v="97"/>
    <x v="1"/>
    <s v="Segun Adeyemi"/>
    <x v="1"/>
    <x v="5"/>
    <x v="3"/>
    <n v="2"/>
    <n v="24000"/>
    <n v="14500"/>
    <n v="0"/>
    <n v="2"/>
    <s v="CUS-2095"/>
    <n v="250000"/>
    <s v="Ibadan"/>
    <x v="22"/>
    <x v="0"/>
    <n v="48000"/>
    <n v="19000"/>
    <s v="2025-08"/>
  </r>
  <r>
    <s v="ORD-7392"/>
    <x v="98"/>
    <x v="1"/>
    <s v="Segun Adeyemi"/>
    <x v="3"/>
    <x v="5"/>
    <x v="3"/>
    <n v="1"/>
    <n v="24000"/>
    <n v="14500"/>
    <n v="0"/>
    <n v="1"/>
    <s v="CUS-2113"/>
    <n v="100000"/>
    <s v="Ibadan"/>
    <x v="30"/>
    <x v="1"/>
    <n v="24000"/>
    <n v="9500"/>
    <s v="2025-08"/>
  </r>
  <r>
    <s v="ORD-7165"/>
    <x v="99"/>
    <x v="1"/>
    <s v="Segun Adeyemi"/>
    <x v="0"/>
    <x v="11"/>
    <x v="5"/>
    <n v="4"/>
    <n v="22000"/>
    <n v="13800"/>
    <n v="0"/>
    <n v="2"/>
    <s v="CUS-2051"/>
    <n v="100000"/>
    <s v="Ibadan"/>
    <x v="24"/>
    <x v="2"/>
    <n v="88000"/>
    <n v="32800"/>
    <s v="2025-08"/>
  </r>
  <r>
    <s v="ORD-7246"/>
    <x v="100"/>
    <x v="1"/>
    <s v="Segun Adeyemi"/>
    <x v="0"/>
    <x v="1"/>
    <x v="1"/>
    <n v="3"/>
    <n v="41000"/>
    <n v="25000"/>
    <n v="0"/>
    <n v="2"/>
    <s v="CUS-2072"/>
    <n v="50000"/>
    <s v="Ibadan"/>
    <x v="20"/>
    <x v="2"/>
    <n v="123000"/>
    <n v="48000"/>
    <s v="2025-09"/>
  </r>
  <r>
    <s v="ORD-7245"/>
    <x v="101"/>
    <x v="1"/>
    <s v="Segun Adeyemi"/>
    <x v="2"/>
    <x v="7"/>
    <x v="0"/>
    <n v="5"/>
    <n v="46000"/>
    <n v="39000"/>
    <n v="0"/>
    <n v="3"/>
    <s v="CUS-2049"/>
    <n v="50000"/>
    <s v="Ibadan"/>
    <x v="26"/>
    <x v="1"/>
    <n v="230000"/>
    <n v="35000"/>
    <s v="2025-09"/>
  </r>
  <r>
    <s v="ORD-7039"/>
    <x v="102"/>
    <x v="1"/>
    <s v="Segun Adeyemi"/>
    <x v="0"/>
    <x v="0"/>
    <x v="0"/>
    <n v="10"/>
    <n v="9800"/>
    <n v="7600"/>
    <n v="0"/>
    <n v="10"/>
    <s v="CUS-2050"/>
    <n v="150000"/>
    <s v="Ibadan"/>
    <x v="28"/>
    <x v="1"/>
    <n v="98000"/>
    <n v="22000"/>
    <s v="2025-09"/>
  </r>
  <r>
    <s v="ORD-7161"/>
    <x v="103"/>
    <x v="1"/>
    <s v="Segun Adeyemi"/>
    <x v="0"/>
    <x v="0"/>
    <x v="0"/>
    <n v="1"/>
    <n v="9800"/>
    <n v="7600"/>
    <n v="0"/>
    <n v="10"/>
    <s v="CUS-2075"/>
    <n v="50000"/>
    <s v="Ibadan"/>
    <x v="21"/>
    <x v="2"/>
    <n v="9800"/>
    <n v="2200"/>
    <s v="2025-09"/>
  </r>
  <r>
    <s v="ORD-7083"/>
    <x v="104"/>
    <x v="1"/>
    <s v="Segun Adeyemi"/>
    <x v="3"/>
    <x v="4"/>
    <x v="1"/>
    <n v="2"/>
    <n v="27500"/>
    <n v="16500"/>
    <n v="0"/>
    <n v="1"/>
    <s v="CUS-2028"/>
    <n v="500000"/>
    <s v="Ibadan"/>
    <x v="32"/>
    <x v="1"/>
    <n v="55000"/>
    <n v="22000"/>
    <s v="2025-10"/>
  </r>
  <r>
    <s v="ORD-7212"/>
    <x v="105"/>
    <x v="1"/>
    <s v="Segun Adeyemi"/>
    <x v="0"/>
    <x v="10"/>
    <x v="2"/>
    <n v="1"/>
    <n v="28000"/>
    <n v="18500"/>
    <n v="0.05"/>
    <n v="4"/>
    <s v="CUS-2063"/>
    <n v="100000"/>
    <s v="Ibadan"/>
    <x v="33"/>
    <x v="0"/>
    <n v="26600"/>
    <n v="8100"/>
    <s v="2025-10"/>
  </r>
  <r>
    <s v="ORD-7195"/>
    <x v="106"/>
    <x v="1"/>
    <s v="Segun Adeyemi"/>
    <x v="1"/>
    <x v="10"/>
    <x v="2"/>
    <n v="1"/>
    <n v="28000"/>
    <n v="18500"/>
    <n v="0"/>
    <n v="3"/>
    <s v="CUS-2110"/>
    <n v="150000"/>
    <s v="Ibadan"/>
    <x v="27"/>
    <x v="0"/>
    <n v="28000"/>
    <n v="9500"/>
    <s v="2025-11"/>
  </r>
  <r>
    <s v="ORD-7188"/>
    <x v="107"/>
    <x v="1"/>
    <s v="Segun Adeyemi"/>
    <x v="2"/>
    <x v="11"/>
    <x v="5"/>
    <n v="3"/>
    <n v="22000"/>
    <n v="13800"/>
    <n v="0"/>
    <n v="2"/>
    <s v="CUS-2072"/>
    <n v="50000"/>
    <s v="Ibadan"/>
    <x v="20"/>
    <x v="2"/>
    <n v="66000"/>
    <n v="24600"/>
    <s v="2025-11"/>
  </r>
  <r>
    <s v="ORD-7023"/>
    <x v="108"/>
    <x v="1"/>
    <s v="Segun Adeyemi"/>
    <x v="0"/>
    <x v="8"/>
    <x v="5"/>
    <n v="2"/>
    <n v="15500"/>
    <n v="9900"/>
    <n v="0"/>
    <n v="2"/>
    <s v="CUS-2112"/>
    <n v="150000"/>
    <s v="Ibadan"/>
    <x v="23"/>
    <x v="1"/>
    <n v="31000"/>
    <n v="11200"/>
    <s v="2025-11"/>
  </r>
  <r>
    <s v="ORD-7036"/>
    <x v="109"/>
    <x v="1"/>
    <s v="Segun Adeyemi"/>
    <x v="2"/>
    <x v="5"/>
    <x v="3"/>
    <n v="2"/>
    <n v="24000"/>
    <n v="14500"/>
    <n v="0"/>
    <n v="5"/>
    <s v="CUS-2003"/>
    <n v="250000"/>
    <s v="Ibadan"/>
    <x v="25"/>
    <x v="1"/>
    <n v="48000"/>
    <n v="19000"/>
    <s v="2025-11"/>
  </r>
  <r>
    <s v="ORD-7137"/>
    <x v="72"/>
    <x v="1"/>
    <s v="Segun Adeyemi"/>
    <x v="1"/>
    <x v="10"/>
    <x v="2"/>
    <n v="3"/>
    <n v="28000"/>
    <n v="18500"/>
    <n v="0.05"/>
    <n v="4"/>
    <s v="CUS-2012"/>
    <n v="250000"/>
    <s v="Ibadan"/>
    <x v="29"/>
    <x v="1"/>
    <n v="79800"/>
    <n v="24300"/>
    <s v="2025-12"/>
  </r>
  <r>
    <s v="ORD-7370"/>
    <x v="110"/>
    <x v="1"/>
    <s v="Segun Adeyemi"/>
    <x v="3"/>
    <x v="11"/>
    <x v="5"/>
    <n v="10"/>
    <n v="22000"/>
    <n v="13800"/>
    <n v="0.1"/>
    <n v="5"/>
    <s v="CUS-2074"/>
    <n v="100000"/>
    <s v="Ibadan"/>
    <x v="31"/>
    <x v="0"/>
    <n v="198000"/>
    <n v="60000"/>
    <s v="2025-12"/>
  </r>
  <r>
    <s v="ORD-7374"/>
    <x v="111"/>
    <x v="1"/>
    <s v="Segun Adeyemi"/>
    <x v="2"/>
    <x v="9"/>
    <x v="5"/>
    <n v="3"/>
    <n v="18500"/>
    <n v="11800"/>
    <n v="0"/>
    <n v="2"/>
    <s v="CUS-2075"/>
    <n v="50000"/>
    <s v="Ibadan"/>
    <x v="21"/>
    <x v="2"/>
    <n v="55500"/>
    <n v="20100"/>
    <s v="2025-12"/>
  </r>
  <r>
    <s v="ORD-7405"/>
    <x v="111"/>
    <x v="1"/>
    <s v="Segun Adeyemi"/>
    <x v="2"/>
    <x v="8"/>
    <x v="5"/>
    <n v="3"/>
    <n v="15500"/>
    <n v="9900"/>
    <n v="0.1"/>
    <n v="2"/>
    <s v="CUS-2113"/>
    <n v="100000"/>
    <s v="Ibadan"/>
    <x v="30"/>
    <x v="1"/>
    <n v="41850"/>
    <n v="12150"/>
    <s v="2025-12"/>
  </r>
  <r>
    <s v="ORD-7203"/>
    <x v="1"/>
    <x v="2"/>
    <s v="Fatima Yusuf"/>
    <x v="0"/>
    <x v="5"/>
    <x v="3"/>
    <n v="2"/>
    <n v="24000"/>
    <n v="14500"/>
    <n v="0"/>
    <n v="7"/>
    <s v="CUS-2120"/>
    <n v="100000"/>
    <s v="Kano"/>
    <x v="34"/>
    <x v="2"/>
    <n v="48000"/>
    <n v="19000"/>
    <s v="2025-01"/>
  </r>
  <r>
    <s v="ORD-7419"/>
    <x v="3"/>
    <x v="2"/>
    <s v="Fatima Yusuf"/>
    <x v="1"/>
    <x v="11"/>
    <x v="5"/>
    <n v="2"/>
    <n v="22000"/>
    <n v="13800"/>
    <n v="0.1"/>
    <n v="5"/>
    <s v="CUS-2024"/>
    <n v="100000"/>
    <s v="Kano"/>
    <x v="35"/>
    <x v="2"/>
    <n v="39600"/>
    <n v="12000"/>
    <s v="2025-01"/>
  </r>
  <r>
    <s v="ORD-7225"/>
    <x v="112"/>
    <x v="2"/>
    <s v="Fatima Yusuf"/>
    <x v="2"/>
    <x v="3"/>
    <x v="3"/>
    <n v="2"/>
    <n v="32000"/>
    <n v="21000"/>
    <n v="0"/>
    <n v="5"/>
    <s v="CUS-2023"/>
    <n v="250000"/>
    <s v="Kano"/>
    <x v="36"/>
    <x v="0"/>
    <n v="64000"/>
    <n v="22000"/>
    <s v="2025-01"/>
  </r>
  <r>
    <s v="ORD-7323"/>
    <x v="5"/>
    <x v="2"/>
    <s v="Fatima Yusuf"/>
    <x v="0"/>
    <x v="9"/>
    <x v="5"/>
    <n v="3"/>
    <n v="18500"/>
    <n v="11800"/>
    <n v="0.1"/>
    <n v="2"/>
    <s v="CUS-2025"/>
    <n v="500000"/>
    <s v="Kano"/>
    <x v="37"/>
    <x v="0"/>
    <n v="49950"/>
    <n v="14550"/>
    <s v="2025-01"/>
  </r>
  <r>
    <s v="ORD-7326"/>
    <x v="113"/>
    <x v="2"/>
    <s v="Fatima Yusuf"/>
    <x v="2"/>
    <x v="7"/>
    <x v="0"/>
    <n v="1"/>
    <n v="46000"/>
    <n v="39000"/>
    <n v="0"/>
    <n v="2"/>
    <s v="CUS-2093"/>
    <n v="500000"/>
    <s v="Kano"/>
    <x v="38"/>
    <x v="0"/>
    <n v="46000"/>
    <n v="7000"/>
    <s v="2025-01"/>
  </r>
  <r>
    <s v="ORD-7067"/>
    <x v="7"/>
    <x v="2"/>
    <s v="Fatima Yusuf"/>
    <x v="0"/>
    <x v="3"/>
    <x v="3"/>
    <n v="1"/>
    <n v="32000"/>
    <n v="21000"/>
    <n v="0"/>
    <n v="5"/>
    <s v="CUS-2093"/>
    <n v="500000"/>
    <s v="Kano"/>
    <x v="38"/>
    <x v="0"/>
    <n v="32000"/>
    <n v="11000"/>
    <s v="2025-01"/>
  </r>
  <r>
    <s v="ORD-7420"/>
    <x v="114"/>
    <x v="2"/>
    <s v="Fatima Yusuf"/>
    <x v="0"/>
    <x v="7"/>
    <x v="0"/>
    <n v="1"/>
    <n v="46000"/>
    <n v="39000"/>
    <n v="0"/>
    <n v="5"/>
    <s v="CUS-2023"/>
    <n v="250000"/>
    <s v="Kano"/>
    <x v="36"/>
    <x v="0"/>
    <n v="46000"/>
    <n v="7000"/>
    <s v="2025-02"/>
  </r>
  <r>
    <s v="ORD-7091"/>
    <x v="115"/>
    <x v="2"/>
    <s v="Fatima Yusuf"/>
    <x v="1"/>
    <x v="5"/>
    <x v="3"/>
    <n v="2"/>
    <n v="24000"/>
    <n v="14500"/>
    <n v="0"/>
    <n v="3"/>
    <s v="CUS-2101"/>
    <n v="100000"/>
    <s v="Kano"/>
    <x v="39"/>
    <x v="2"/>
    <n v="48000"/>
    <n v="19000"/>
    <s v="2025-03"/>
  </r>
  <r>
    <s v="ORD-7173"/>
    <x v="115"/>
    <x v="2"/>
    <s v="Fatima Yusuf"/>
    <x v="1"/>
    <x v="5"/>
    <x v="3"/>
    <n v="3"/>
    <n v="24000"/>
    <n v="14500"/>
    <n v="0"/>
    <n v="4"/>
    <s v="CUS-2041"/>
    <n v="150000"/>
    <s v="Kano"/>
    <x v="40"/>
    <x v="2"/>
    <n v="72000"/>
    <n v="28500"/>
    <s v="2025-03"/>
  </r>
  <r>
    <s v="ORD-7312"/>
    <x v="116"/>
    <x v="2"/>
    <s v="Fatima Yusuf"/>
    <x v="0"/>
    <x v="1"/>
    <x v="1"/>
    <n v="1"/>
    <n v="41000"/>
    <n v="25000"/>
    <n v="0"/>
    <n v="4"/>
    <s v="CUS-2009"/>
    <n v="500000"/>
    <s v="Kano"/>
    <x v="41"/>
    <x v="0"/>
    <n v="41000"/>
    <n v="16000"/>
    <s v="2025-03"/>
  </r>
  <r>
    <s v="ORD-7088"/>
    <x v="117"/>
    <x v="2"/>
    <s v="Fatima Yusuf"/>
    <x v="0"/>
    <x v="7"/>
    <x v="0"/>
    <n v="3"/>
    <n v="46000"/>
    <n v="39000"/>
    <n v="0.1"/>
    <n v="2"/>
    <s v="CUS-2097"/>
    <n v="150000"/>
    <s v="Kano"/>
    <x v="42"/>
    <x v="2"/>
    <n v="124200"/>
    <n v="7200"/>
    <s v="2025-03"/>
  </r>
  <r>
    <s v="ORD-7324"/>
    <x v="118"/>
    <x v="2"/>
    <s v="Fatima Yusuf"/>
    <x v="1"/>
    <x v="5"/>
    <x v="3"/>
    <n v="3"/>
    <n v="24000"/>
    <n v="14500"/>
    <n v="0"/>
    <n v="1"/>
    <s v="CUS-2091"/>
    <n v="500000"/>
    <s v="Kano"/>
    <x v="43"/>
    <x v="2"/>
    <n v="72000"/>
    <n v="28500"/>
    <s v="2025-03"/>
  </r>
  <r>
    <s v="ORD-7337"/>
    <x v="79"/>
    <x v="2"/>
    <s v="Fatima Yusuf"/>
    <x v="2"/>
    <x v="1"/>
    <x v="1"/>
    <n v="1"/>
    <n v="41000"/>
    <n v="25000"/>
    <n v="0.05"/>
    <n v="1"/>
    <s v="CUS-2085"/>
    <n v="50000"/>
    <s v="Kano"/>
    <x v="44"/>
    <x v="1"/>
    <n v="38950"/>
    <n v="13950"/>
    <s v="2025-03"/>
  </r>
  <r>
    <s v="ORD-7030"/>
    <x v="119"/>
    <x v="2"/>
    <s v="Fatima Yusuf"/>
    <x v="1"/>
    <x v="4"/>
    <x v="1"/>
    <n v="4"/>
    <n v="27500"/>
    <n v="16500"/>
    <n v="0"/>
    <n v="2"/>
    <s v="CUS-2120"/>
    <n v="100000"/>
    <s v="Kano"/>
    <x v="34"/>
    <x v="2"/>
    <n v="110000"/>
    <n v="44000"/>
    <s v="2025-03"/>
  </r>
  <r>
    <s v="ORD-7394"/>
    <x v="120"/>
    <x v="2"/>
    <s v="Fatima Yusuf"/>
    <x v="0"/>
    <x v="7"/>
    <x v="0"/>
    <n v="4"/>
    <n v="46000"/>
    <n v="39000"/>
    <n v="0"/>
    <n v="2"/>
    <s v="CUS-2097"/>
    <n v="150000"/>
    <s v="Kano"/>
    <x v="42"/>
    <x v="2"/>
    <n v="184000"/>
    <n v="28000"/>
    <s v="2025-04"/>
  </r>
  <r>
    <s v="ORD-7187"/>
    <x v="21"/>
    <x v="2"/>
    <s v="Fatima Yusuf"/>
    <x v="1"/>
    <x v="5"/>
    <x v="3"/>
    <n v="5"/>
    <n v="24000"/>
    <n v="14500"/>
    <n v="0"/>
    <n v="3"/>
    <s v="CUS-2097"/>
    <n v="150000"/>
    <s v="Kano"/>
    <x v="42"/>
    <x v="2"/>
    <n v="120000"/>
    <n v="47500"/>
    <s v="2025-04"/>
  </r>
  <r>
    <s v="ORD-7269"/>
    <x v="22"/>
    <x v="2"/>
    <s v="Fatima Yusuf"/>
    <x v="2"/>
    <x v="9"/>
    <x v="5"/>
    <n v="8"/>
    <n v="18500"/>
    <n v="11800"/>
    <n v="0"/>
    <n v="2"/>
    <s v="CUS-2076"/>
    <n v="100000"/>
    <s v="Kano"/>
    <x v="45"/>
    <x v="1"/>
    <n v="148000"/>
    <n v="53600"/>
    <s v="2025-04"/>
  </r>
  <r>
    <s v="ORD-7301"/>
    <x v="23"/>
    <x v="2"/>
    <s v="Fatima Yusuf"/>
    <x v="0"/>
    <x v="10"/>
    <x v="2"/>
    <n v="3"/>
    <n v="28000"/>
    <n v="18500"/>
    <n v="0"/>
    <n v="1"/>
    <s v="CUS-2085"/>
    <n v="50000"/>
    <s v="Kano"/>
    <x v="44"/>
    <x v="1"/>
    <n v="84000"/>
    <n v="28500"/>
    <s v="2025-04"/>
  </r>
  <r>
    <s v="ORD-7343"/>
    <x v="121"/>
    <x v="2"/>
    <s v="Fatima Yusuf"/>
    <x v="1"/>
    <x v="7"/>
    <x v="0"/>
    <n v="2"/>
    <n v="46000"/>
    <n v="39000"/>
    <n v="0"/>
    <n v="7"/>
    <s v="CUS-2097"/>
    <n v="150000"/>
    <s v="Kano"/>
    <x v="42"/>
    <x v="2"/>
    <n v="92000"/>
    <n v="14000"/>
    <s v="2025-05"/>
  </r>
  <r>
    <s v="ORD-7274"/>
    <x v="122"/>
    <x v="2"/>
    <s v="Fatima Yusuf"/>
    <x v="3"/>
    <x v="4"/>
    <x v="1"/>
    <n v="1"/>
    <n v="27500"/>
    <n v="16500"/>
    <n v="0"/>
    <n v="1"/>
    <s v="CUS-2099"/>
    <n v="50000"/>
    <s v="Kano"/>
    <x v="46"/>
    <x v="2"/>
    <n v="27500"/>
    <n v="11000"/>
    <s v="2025-05"/>
  </r>
  <r>
    <s v="ORD-7366"/>
    <x v="123"/>
    <x v="2"/>
    <s v="Fatima Yusuf"/>
    <x v="0"/>
    <x v="10"/>
    <x v="2"/>
    <n v="1"/>
    <n v="28000"/>
    <n v="18500"/>
    <n v="0"/>
    <n v="2"/>
    <s v="CUS-2085"/>
    <n v="50000"/>
    <s v="Kano"/>
    <x v="44"/>
    <x v="1"/>
    <n v="28000"/>
    <n v="9500"/>
    <s v="2025-06"/>
  </r>
  <r>
    <s v="ORD-7194"/>
    <x v="36"/>
    <x v="2"/>
    <s v="Fatima Yusuf"/>
    <x v="0"/>
    <x v="10"/>
    <x v="2"/>
    <n v="1"/>
    <n v="28000"/>
    <n v="18500"/>
    <n v="0"/>
    <n v="3"/>
    <s v="CUS-2061"/>
    <n v="250000"/>
    <s v="Kano"/>
    <x v="47"/>
    <x v="1"/>
    <n v="28000"/>
    <n v="9500"/>
    <s v="2025-06"/>
  </r>
  <r>
    <s v="ORD-7254"/>
    <x v="92"/>
    <x v="2"/>
    <s v="Fatima Yusuf"/>
    <x v="2"/>
    <x v="9"/>
    <x v="5"/>
    <n v="10"/>
    <n v="18500"/>
    <n v="11800"/>
    <n v="0"/>
    <n v="3"/>
    <s v="CUS-2016"/>
    <n v="50000"/>
    <s v="Kano"/>
    <x v="48"/>
    <x v="1"/>
    <n v="185000"/>
    <n v="67000"/>
    <s v="2025-06"/>
  </r>
  <r>
    <s v="ORD-7042"/>
    <x v="124"/>
    <x v="2"/>
    <s v="Fatima Yusuf"/>
    <x v="2"/>
    <x v="2"/>
    <x v="2"/>
    <n v="4"/>
    <n v="12000"/>
    <n v="7200"/>
    <n v="0"/>
    <n v="7"/>
    <s v="CUS-2061"/>
    <n v="250000"/>
    <s v="Kano"/>
    <x v="47"/>
    <x v="1"/>
    <n v="48000"/>
    <n v="19200"/>
    <s v="2025-06"/>
  </r>
  <r>
    <s v="ORD-7404"/>
    <x v="125"/>
    <x v="2"/>
    <s v="Fatima Yusuf"/>
    <x v="1"/>
    <x v="7"/>
    <x v="0"/>
    <n v="1"/>
    <n v="46000"/>
    <n v="39000"/>
    <n v="0.05"/>
    <n v="2"/>
    <s v="CUS-2085"/>
    <n v="50000"/>
    <s v="Kano"/>
    <x v="44"/>
    <x v="1"/>
    <n v="43700"/>
    <n v="4700"/>
    <s v="2025-07"/>
  </r>
  <r>
    <s v="ORD-7040"/>
    <x v="126"/>
    <x v="2"/>
    <s v="Fatima Yusuf"/>
    <x v="0"/>
    <x v="9"/>
    <x v="5"/>
    <n v="2"/>
    <n v="18500"/>
    <n v="11800"/>
    <n v="0.05"/>
    <n v="1"/>
    <s v="CUS-2061"/>
    <n v="250000"/>
    <s v="Kano"/>
    <x v="47"/>
    <x v="1"/>
    <n v="35150"/>
    <n v="11550"/>
    <s v="2025-07"/>
  </r>
  <r>
    <s v="ORD-7058"/>
    <x v="127"/>
    <x v="2"/>
    <s v="Fatima Yusuf"/>
    <x v="2"/>
    <x v="6"/>
    <x v="4"/>
    <n v="1"/>
    <n v="6800"/>
    <n v="3900"/>
    <n v="0"/>
    <n v="3"/>
    <s v="CUS-2041"/>
    <n v="150000"/>
    <s v="Kano"/>
    <x v="40"/>
    <x v="2"/>
    <n v="6800"/>
    <n v="2900"/>
    <s v="2025-07"/>
  </r>
  <r>
    <s v="ORD-7266"/>
    <x v="128"/>
    <x v="2"/>
    <s v="Fatima Yusuf"/>
    <x v="0"/>
    <x v="11"/>
    <x v="5"/>
    <n v="3"/>
    <n v="22000"/>
    <n v="13800"/>
    <n v="0"/>
    <n v="1"/>
    <s v="CUS-2016"/>
    <n v="50000"/>
    <s v="Kano"/>
    <x v="48"/>
    <x v="1"/>
    <n v="66000"/>
    <n v="24600"/>
    <s v="2025-07"/>
  </r>
  <r>
    <s v="ORD-7263"/>
    <x v="129"/>
    <x v="2"/>
    <s v="Fatima Yusuf"/>
    <x v="1"/>
    <x v="10"/>
    <x v="2"/>
    <n v="2"/>
    <n v="28000"/>
    <n v="18500"/>
    <n v="0.05"/>
    <n v="4"/>
    <s v="CUS-2023"/>
    <n v="250000"/>
    <s v="Kano"/>
    <x v="36"/>
    <x v="0"/>
    <n v="53200"/>
    <n v="16200"/>
    <s v="2025-08"/>
  </r>
  <r>
    <s v="ORD-7123"/>
    <x v="130"/>
    <x v="2"/>
    <s v="Fatima Yusuf"/>
    <x v="0"/>
    <x v="8"/>
    <x v="5"/>
    <n v="1"/>
    <n v="15500"/>
    <n v="9900"/>
    <n v="0"/>
    <n v="5"/>
    <s v="CUS-2082"/>
    <n v="250000"/>
    <s v="Kano"/>
    <x v="49"/>
    <x v="0"/>
    <n v="15500"/>
    <n v="5600"/>
    <s v="2025-08"/>
  </r>
  <r>
    <s v="ORD-7037"/>
    <x v="131"/>
    <x v="2"/>
    <s v="Fatima Yusuf"/>
    <x v="0"/>
    <x v="3"/>
    <x v="3"/>
    <n v="2"/>
    <n v="32000"/>
    <n v="21000"/>
    <n v="0"/>
    <n v="3"/>
    <s v="CUS-2009"/>
    <n v="500000"/>
    <s v="Kano"/>
    <x v="41"/>
    <x v="0"/>
    <n v="64000"/>
    <n v="22000"/>
    <s v="2025-08"/>
  </r>
  <r>
    <s v="ORD-7286"/>
    <x v="56"/>
    <x v="2"/>
    <s v="Fatima Yusuf"/>
    <x v="1"/>
    <x v="8"/>
    <x v="5"/>
    <n v="1"/>
    <n v="15500"/>
    <n v="9900"/>
    <n v="0"/>
    <n v="5"/>
    <s v="CUS-2099"/>
    <n v="50000"/>
    <s v="Kano"/>
    <x v="46"/>
    <x v="2"/>
    <n v="15500"/>
    <n v="5600"/>
    <s v="2025-08"/>
  </r>
  <r>
    <s v="ORD-7057"/>
    <x v="99"/>
    <x v="2"/>
    <s v="Fatima Yusuf"/>
    <x v="0"/>
    <x v="3"/>
    <x v="3"/>
    <n v="2"/>
    <n v="32000"/>
    <n v="21000"/>
    <n v="0"/>
    <n v="7"/>
    <s v="CUS-2016"/>
    <n v="50000"/>
    <s v="Kano"/>
    <x v="48"/>
    <x v="1"/>
    <n v="64000"/>
    <n v="22000"/>
    <s v="2025-08"/>
  </r>
  <r>
    <s v="ORD-7198"/>
    <x v="99"/>
    <x v="2"/>
    <s v="Fatima Yusuf"/>
    <x v="3"/>
    <x v="8"/>
    <x v="5"/>
    <n v="4"/>
    <n v="15500"/>
    <n v="9900"/>
    <n v="0"/>
    <n v="5"/>
    <s v="CUS-2101"/>
    <n v="100000"/>
    <s v="Kano"/>
    <x v="39"/>
    <x v="2"/>
    <n v="62000"/>
    <n v="22400"/>
    <s v="2025-08"/>
  </r>
  <r>
    <s v="ORD-7078"/>
    <x v="132"/>
    <x v="2"/>
    <s v="Fatima Yusuf"/>
    <x v="1"/>
    <x v="1"/>
    <x v="1"/>
    <n v="8"/>
    <n v="41000"/>
    <n v="25000"/>
    <n v="0.1"/>
    <n v="2"/>
    <s v="CUS-2041"/>
    <n v="150000"/>
    <s v="Kano"/>
    <x v="40"/>
    <x v="2"/>
    <n v="295200"/>
    <n v="95200"/>
    <s v="2025-08"/>
  </r>
  <r>
    <s v="ORD-7299"/>
    <x v="133"/>
    <x v="2"/>
    <s v="Fatima Yusuf"/>
    <x v="0"/>
    <x v="9"/>
    <x v="5"/>
    <n v="2"/>
    <n v="18500"/>
    <n v="11800"/>
    <n v="0"/>
    <n v="4"/>
    <s v="CUS-2099"/>
    <n v="50000"/>
    <s v="Kano"/>
    <x v="46"/>
    <x v="2"/>
    <n v="37000"/>
    <n v="13400"/>
    <s v="2025-09"/>
  </r>
  <r>
    <s v="ORD-7135"/>
    <x v="134"/>
    <x v="2"/>
    <s v="Fatima Yusuf"/>
    <x v="1"/>
    <x v="8"/>
    <x v="5"/>
    <n v="1"/>
    <n v="15500"/>
    <n v="9900"/>
    <n v="0"/>
    <n v="1"/>
    <s v="CUS-2085"/>
    <n v="50000"/>
    <s v="Kano"/>
    <x v="44"/>
    <x v="1"/>
    <n v="15500"/>
    <n v="5600"/>
    <s v="2025-10"/>
  </r>
  <r>
    <s v="ORD-7097"/>
    <x v="135"/>
    <x v="2"/>
    <s v="Fatima Yusuf"/>
    <x v="1"/>
    <x v="3"/>
    <x v="3"/>
    <n v="5"/>
    <n v="32000"/>
    <n v="21000"/>
    <n v="0.05"/>
    <n v="4"/>
    <s v="CUS-2023"/>
    <n v="250000"/>
    <s v="Kano"/>
    <x v="36"/>
    <x v="0"/>
    <n v="152000"/>
    <n v="47000"/>
    <s v="2025-10"/>
  </r>
  <r>
    <s v="ORD-7189"/>
    <x v="135"/>
    <x v="2"/>
    <s v="Fatima Yusuf"/>
    <x v="1"/>
    <x v="9"/>
    <x v="5"/>
    <n v="4"/>
    <n v="18500"/>
    <n v="11800"/>
    <n v="0"/>
    <n v="4"/>
    <s v="CUS-2057"/>
    <n v="150000"/>
    <s v="Kano"/>
    <x v="50"/>
    <x v="1"/>
    <n v="74000"/>
    <n v="26800"/>
    <s v="2025-10"/>
  </r>
  <r>
    <s v="ORD-7044"/>
    <x v="62"/>
    <x v="2"/>
    <s v="Fatima Yusuf"/>
    <x v="2"/>
    <x v="0"/>
    <x v="0"/>
    <n v="1"/>
    <n v="9800"/>
    <n v="7600"/>
    <n v="0"/>
    <n v="1"/>
    <s v="CUS-2041"/>
    <n v="150000"/>
    <s v="Kano"/>
    <x v="40"/>
    <x v="2"/>
    <n v="9800"/>
    <n v="2200"/>
    <s v="2025-10"/>
  </r>
  <r>
    <s v="ORD-7305"/>
    <x v="64"/>
    <x v="2"/>
    <s v="Fatima Yusuf"/>
    <x v="0"/>
    <x v="4"/>
    <x v="1"/>
    <n v="2"/>
    <n v="27500"/>
    <n v="16500"/>
    <n v="0"/>
    <n v="3"/>
    <s v="CUS-2024"/>
    <n v="100000"/>
    <s v="Kano"/>
    <x v="35"/>
    <x v="2"/>
    <n v="55000"/>
    <n v="22000"/>
    <s v="2025-10"/>
  </r>
  <r>
    <s v="ORD-7276"/>
    <x v="136"/>
    <x v="2"/>
    <s v="Fatima Yusuf"/>
    <x v="0"/>
    <x v="11"/>
    <x v="5"/>
    <n v="3"/>
    <n v="22000"/>
    <n v="13800"/>
    <n v="0.05"/>
    <n v="4"/>
    <s v="CUS-2099"/>
    <n v="50000"/>
    <s v="Kano"/>
    <x v="46"/>
    <x v="2"/>
    <n v="62700"/>
    <n v="21300"/>
    <s v="2025-10"/>
  </r>
  <r>
    <s v="ORD-7101"/>
    <x v="137"/>
    <x v="2"/>
    <s v="Fatima Yusuf"/>
    <x v="3"/>
    <x v="6"/>
    <x v="4"/>
    <n v="1"/>
    <n v="6800"/>
    <n v="3900"/>
    <n v="0"/>
    <n v="4"/>
    <s v="CUS-2093"/>
    <n v="500000"/>
    <s v="Kano"/>
    <x v="38"/>
    <x v="0"/>
    <n v="6800"/>
    <n v="2900"/>
    <s v="2025-10"/>
  </r>
  <r>
    <s v="ORD-7132"/>
    <x v="69"/>
    <x v="2"/>
    <s v="Fatima Yusuf"/>
    <x v="2"/>
    <x v="7"/>
    <x v="0"/>
    <n v="2"/>
    <n v="46000"/>
    <n v="39000"/>
    <n v="0"/>
    <n v="1"/>
    <s v="CUS-2099"/>
    <n v="50000"/>
    <s v="Kano"/>
    <x v="46"/>
    <x v="2"/>
    <n v="92000"/>
    <n v="14000"/>
    <s v="2025-11"/>
  </r>
  <r>
    <s v="ORD-7396"/>
    <x v="138"/>
    <x v="2"/>
    <s v="Fatima Yusuf"/>
    <x v="2"/>
    <x v="9"/>
    <x v="5"/>
    <n v="2"/>
    <n v="18500"/>
    <n v="11800"/>
    <n v="0"/>
    <n v="2"/>
    <s v="CUS-2091"/>
    <n v="500000"/>
    <s v="Kano"/>
    <x v="43"/>
    <x v="2"/>
    <n v="37000"/>
    <n v="13400"/>
    <s v="2025-11"/>
  </r>
  <r>
    <s v="ORD-7306"/>
    <x v="139"/>
    <x v="2"/>
    <s v="Fatima Yusuf"/>
    <x v="1"/>
    <x v="7"/>
    <x v="0"/>
    <n v="2"/>
    <n v="46000"/>
    <n v="39000"/>
    <n v="0"/>
    <n v="2"/>
    <s v="CUS-2023"/>
    <n v="250000"/>
    <s v="Kano"/>
    <x v="36"/>
    <x v="0"/>
    <n v="92000"/>
    <n v="14000"/>
    <s v="2025-11"/>
  </r>
  <r>
    <s v="ORD-7342"/>
    <x v="140"/>
    <x v="2"/>
    <s v="Fatima Yusuf"/>
    <x v="0"/>
    <x v="0"/>
    <x v="0"/>
    <n v="2"/>
    <n v="9800"/>
    <n v="7600"/>
    <n v="0"/>
    <n v="1"/>
    <s v="CUS-2076"/>
    <n v="100000"/>
    <s v="Kano"/>
    <x v="45"/>
    <x v="1"/>
    <n v="19600"/>
    <n v="4400"/>
    <s v="2025-11"/>
  </r>
  <r>
    <s v="ORD-7028"/>
    <x v="141"/>
    <x v="2"/>
    <s v="Fatima Yusuf"/>
    <x v="3"/>
    <x v="11"/>
    <x v="5"/>
    <n v="1"/>
    <n v="22000"/>
    <n v="13800"/>
    <n v="0"/>
    <n v="3"/>
    <s v="CUS-2024"/>
    <n v="100000"/>
    <s v="Kano"/>
    <x v="35"/>
    <x v="2"/>
    <n v="22000"/>
    <n v="8200"/>
    <s v="2025-11"/>
  </r>
  <r>
    <s v="ORD-7262"/>
    <x v="142"/>
    <x v="2"/>
    <s v="Fatima Yusuf"/>
    <x v="2"/>
    <x v="9"/>
    <x v="5"/>
    <n v="2"/>
    <n v="18500"/>
    <n v="11800"/>
    <n v="0"/>
    <n v="2"/>
    <s v="CUS-2016"/>
    <n v="50000"/>
    <s v="Kano"/>
    <x v="48"/>
    <x v="1"/>
    <n v="37000"/>
    <n v="13400"/>
    <s v="2025-11"/>
  </r>
  <r>
    <s v="ORD-7339"/>
    <x v="142"/>
    <x v="2"/>
    <s v="Fatima Yusuf"/>
    <x v="2"/>
    <x v="11"/>
    <x v="5"/>
    <n v="11"/>
    <n v="22000"/>
    <n v="13800"/>
    <n v="0"/>
    <n v="7"/>
    <s v="CUS-2119"/>
    <n v="150000"/>
    <s v="Kano"/>
    <x v="51"/>
    <x v="1"/>
    <n v="242000"/>
    <n v="90200"/>
    <s v="2025-11"/>
  </r>
  <r>
    <s v="ORD-7237"/>
    <x v="143"/>
    <x v="2"/>
    <s v="Fatima Yusuf"/>
    <x v="0"/>
    <x v="8"/>
    <x v="5"/>
    <n v="2"/>
    <n v="15500"/>
    <n v="9900"/>
    <n v="0"/>
    <n v="2"/>
    <s v="CUS-2009"/>
    <n v="500000"/>
    <s v="Kano"/>
    <x v="41"/>
    <x v="0"/>
    <n v="31000"/>
    <n v="11200"/>
    <s v="2025-12"/>
  </r>
  <r>
    <s v="ORD-7052"/>
    <x v="144"/>
    <x v="2"/>
    <s v="Fatima Yusuf"/>
    <x v="2"/>
    <x v="0"/>
    <x v="0"/>
    <n v="9"/>
    <n v="9800"/>
    <n v="7600"/>
    <n v="0"/>
    <n v="3"/>
    <s v="CUS-2076"/>
    <n v="100000"/>
    <s v="Kano"/>
    <x v="45"/>
    <x v="1"/>
    <n v="88200"/>
    <n v="19800"/>
    <s v="2025-12"/>
  </r>
  <r>
    <s v="ORD-7251"/>
    <x v="145"/>
    <x v="2"/>
    <s v="Fatima Yusuf"/>
    <x v="1"/>
    <x v="10"/>
    <x v="2"/>
    <n v="2"/>
    <n v="28000"/>
    <n v="18500"/>
    <n v="0"/>
    <n v="3"/>
    <s v="CUS-2082"/>
    <n v="250000"/>
    <s v="Kano"/>
    <x v="49"/>
    <x v="0"/>
    <n v="56000"/>
    <n v="19000"/>
    <s v="2025-12"/>
  </r>
  <r>
    <s v="ORD-7221"/>
    <x v="146"/>
    <x v="2"/>
    <s v="Fatima Yusuf"/>
    <x v="2"/>
    <x v="3"/>
    <x v="3"/>
    <n v="2"/>
    <n v="32000"/>
    <n v="21000"/>
    <n v="0"/>
    <n v="1"/>
    <s v="CUS-2091"/>
    <n v="500000"/>
    <s v="Kano"/>
    <x v="43"/>
    <x v="2"/>
    <n v="64000"/>
    <n v="22000"/>
    <s v="2025-12"/>
  </r>
  <r>
    <s v="ORD-7069"/>
    <x v="147"/>
    <x v="2"/>
    <s v="Fatima Yusuf"/>
    <x v="0"/>
    <x v="3"/>
    <x v="3"/>
    <n v="1"/>
    <n v="32000"/>
    <n v="21000"/>
    <n v="0"/>
    <n v="1"/>
    <s v="CUS-2041"/>
    <n v="150000"/>
    <s v="Kano"/>
    <x v="40"/>
    <x v="2"/>
    <n v="32000"/>
    <n v="11000"/>
    <s v="2025-12"/>
  </r>
  <r>
    <s v="ORD-7214"/>
    <x v="148"/>
    <x v="2"/>
    <s v="Fatima Yusuf"/>
    <x v="2"/>
    <x v="4"/>
    <x v="1"/>
    <n v="3"/>
    <n v="27500"/>
    <n v="16500"/>
    <n v="0"/>
    <n v="3"/>
    <s v="CUS-2024"/>
    <n v="100000"/>
    <s v="Kano"/>
    <x v="35"/>
    <x v="2"/>
    <n v="82500"/>
    <n v="33000"/>
    <s v="2025-12"/>
  </r>
  <r>
    <s v="ORD-7365"/>
    <x v="149"/>
    <x v="3"/>
    <s v="Tunde Bello"/>
    <x v="1"/>
    <x v="9"/>
    <x v="5"/>
    <n v="1"/>
    <n v="18500"/>
    <n v="11800"/>
    <n v="0"/>
    <n v="7"/>
    <s v="CUS-2013"/>
    <n v="150000"/>
    <s v="Lagos"/>
    <x v="52"/>
    <x v="0"/>
    <n v="18500"/>
    <n v="6700"/>
    <s v="2025-01"/>
  </r>
  <r>
    <s v="ORD-7162"/>
    <x v="150"/>
    <x v="3"/>
    <s v="Tunde Bello"/>
    <x v="1"/>
    <x v="7"/>
    <x v="0"/>
    <n v="2"/>
    <n v="46000"/>
    <n v="39000"/>
    <n v="0"/>
    <n v="1"/>
    <s v="CUS-2111"/>
    <n v="250000"/>
    <s v="Lagos"/>
    <x v="53"/>
    <x v="1"/>
    <n v="92000"/>
    <n v="14000"/>
    <s v="2025-01"/>
  </r>
  <r>
    <s v="ORD-7143"/>
    <x v="3"/>
    <x v="3"/>
    <s v="Tunde Bello"/>
    <x v="1"/>
    <x v="11"/>
    <x v="5"/>
    <n v="3"/>
    <n v="22000"/>
    <n v="13800"/>
    <n v="0"/>
    <n v="2"/>
    <s v="CUS-2077"/>
    <n v="500000"/>
    <s v="Lagos"/>
    <x v="54"/>
    <x v="1"/>
    <n v="66000"/>
    <n v="24600"/>
    <s v="2025-01"/>
  </r>
  <r>
    <s v="ORD-7268"/>
    <x v="3"/>
    <x v="3"/>
    <s v="Tunde Bello"/>
    <x v="2"/>
    <x v="5"/>
    <x v="3"/>
    <n v="2"/>
    <n v="24000"/>
    <n v="14500"/>
    <n v="0.1"/>
    <n v="2"/>
    <s v="CUS-2060"/>
    <n v="100000"/>
    <s v="Lagos"/>
    <x v="21"/>
    <x v="2"/>
    <n v="43200"/>
    <n v="14200"/>
    <s v="2025-01"/>
  </r>
  <r>
    <s v="ORD-7288"/>
    <x v="3"/>
    <x v="3"/>
    <s v="Amaka Obi"/>
    <x v="0"/>
    <x v="4"/>
    <x v="1"/>
    <n v="2"/>
    <n v="27500"/>
    <n v="16500"/>
    <n v="0"/>
    <n v="1"/>
    <s v="CUS-2083"/>
    <n v="150000"/>
    <s v="Lagos"/>
    <x v="55"/>
    <x v="1"/>
    <n v="55000"/>
    <n v="22000"/>
    <s v="2025-01"/>
  </r>
  <r>
    <s v="ORD-7013"/>
    <x v="151"/>
    <x v="3"/>
    <s v="Tunde Bello"/>
    <x v="0"/>
    <x v="6"/>
    <x v="4"/>
    <n v="3"/>
    <n v="6800"/>
    <n v="3900"/>
    <n v="0"/>
    <n v="3"/>
    <s v="CUS-2030"/>
    <n v="500000"/>
    <s v="Lagos"/>
    <x v="56"/>
    <x v="2"/>
    <n v="20400"/>
    <n v="8700"/>
    <s v="2025-01"/>
  </r>
  <r>
    <s v="ORD-7284"/>
    <x v="152"/>
    <x v="3"/>
    <s v="Amaka Obi"/>
    <x v="1"/>
    <x v="9"/>
    <x v="5"/>
    <n v="1"/>
    <n v="18500"/>
    <n v="11800"/>
    <n v="0"/>
    <n v="2"/>
    <s v="CUS-2077"/>
    <n v="500000"/>
    <s v="Lagos"/>
    <x v="54"/>
    <x v="1"/>
    <n v="18500"/>
    <n v="6700"/>
    <s v="2025-01"/>
  </r>
  <r>
    <s v="ORD-7350"/>
    <x v="152"/>
    <x v="3"/>
    <s v="Amaka Obi"/>
    <x v="0"/>
    <x v="1"/>
    <x v="1"/>
    <n v="8"/>
    <n v="41000"/>
    <n v="25000"/>
    <n v="0"/>
    <n v="5"/>
    <s v="CUS-2027"/>
    <n v="150000"/>
    <s v="Lagos"/>
    <x v="57"/>
    <x v="1"/>
    <n v="328000"/>
    <n v="128000"/>
    <s v="2025-01"/>
  </r>
  <r>
    <s v="ORD-7025"/>
    <x v="113"/>
    <x v="3"/>
    <s v="Amaka Obi"/>
    <x v="2"/>
    <x v="6"/>
    <x v="4"/>
    <n v="2"/>
    <n v="6800"/>
    <n v="3900"/>
    <n v="0"/>
    <n v="3"/>
    <s v="CUS-2071"/>
    <n v="50000"/>
    <s v="Lagos"/>
    <x v="58"/>
    <x v="1"/>
    <n v="13600"/>
    <n v="5800"/>
    <s v="2025-01"/>
  </r>
  <r>
    <s v="ORD-7375"/>
    <x v="6"/>
    <x v="3"/>
    <s v="Amaka Obi"/>
    <x v="0"/>
    <x v="6"/>
    <x v="4"/>
    <n v="4"/>
    <n v="6800"/>
    <n v="3900"/>
    <n v="0"/>
    <n v="4"/>
    <s v="CUS-2111"/>
    <n v="250000"/>
    <s v="Lagos"/>
    <x v="53"/>
    <x v="1"/>
    <n v="27200"/>
    <n v="11600"/>
    <s v="2025-01"/>
  </r>
  <r>
    <s v="ORD-7213"/>
    <x v="153"/>
    <x v="3"/>
    <s v="Tunde Bello"/>
    <x v="0"/>
    <x v="10"/>
    <x v="2"/>
    <n v="2"/>
    <n v="28000"/>
    <n v="18500"/>
    <n v="0"/>
    <n v="3"/>
    <s v="CUS-2108"/>
    <n v="50000"/>
    <s v="Lagos"/>
    <x v="59"/>
    <x v="1"/>
    <n v="56000"/>
    <n v="19000"/>
    <s v="2025-01"/>
  </r>
  <r>
    <s v="ORD-7177"/>
    <x v="154"/>
    <x v="3"/>
    <s v="Tunde Bello"/>
    <x v="1"/>
    <x v="0"/>
    <x v="0"/>
    <n v="1"/>
    <n v="9800"/>
    <n v="7600"/>
    <n v="0"/>
    <n v="1"/>
    <s v="CUS-2047"/>
    <n v="250000"/>
    <s v="Lagos"/>
    <x v="60"/>
    <x v="1"/>
    <n v="9800"/>
    <n v="2200"/>
    <s v="2025-01"/>
  </r>
  <r>
    <s v="ORD-7197"/>
    <x v="155"/>
    <x v="3"/>
    <s v="Tunde Bello"/>
    <x v="0"/>
    <x v="1"/>
    <x v="1"/>
    <n v="2"/>
    <n v="41000"/>
    <n v="25000"/>
    <n v="0"/>
    <n v="4"/>
    <s v="CUS-2053"/>
    <n v="250000"/>
    <s v="Lagos"/>
    <x v="61"/>
    <x v="1"/>
    <n v="82000"/>
    <n v="32000"/>
    <s v="2025-01"/>
  </r>
  <r>
    <s v="ORD-7290"/>
    <x v="8"/>
    <x v="3"/>
    <s v="Amaka Obi"/>
    <x v="1"/>
    <x v="7"/>
    <x v="0"/>
    <n v="10"/>
    <n v="46000"/>
    <n v="39000"/>
    <n v="0"/>
    <n v="2"/>
    <s v="CUS-2081"/>
    <n v="500000"/>
    <s v="Lagos"/>
    <x v="62"/>
    <x v="2"/>
    <n v="460000"/>
    <n v="70000"/>
    <s v="2025-02"/>
  </r>
  <r>
    <s v="ORD-7329"/>
    <x v="76"/>
    <x v="3"/>
    <s v="Tunde Bello"/>
    <x v="3"/>
    <x v="5"/>
    <x v="3"/>
    <n v="3"/>
    <n v="24000"/>
    <n v="14500"/>
    <n v="0"/>
    <n v="3"/>
    <s v="CUS-2013"/>
    <n v="150000"/>
    <s v="Lagos"/>
    <x v="52"/>
    <x v="0"/>
    <n v="72000"/>
    <n v="28500"/>
    <s v="2025-02"/>
  </r>
  <r>
    <s v="ORD-7169"/>
    <x v="156"/>
    <x v="3"/>
    <s v="Amaka Obi"/>
    <x v="3"/>
    <x v="0"/>
    <x v="0"/>
    <n v="4"/>
    <n v="9800"/>
    <n v="7600"/>
    <n v="0"/>
    <n v="3"/>
    <s v="CUS-2103"/>
    <n v="100000"/>
    <s v="Lagos"/>
    <x v="63"/>
    <x v="1"/>
    <n v="39200"/>
    <n v="8800"/>
    <s v="2025-02"/>
  </r>
  <r>
    <s v="ORD-7053"/>
    <x v="9"/>
    <x v="3"/>
    <s v="Amaka Obi"/>
    <x v="3"/>
    <x v="5"/>
    <x v="3"/>
    <n v="1"/>
    <n v="24000"/>
    <n v="14500"/>
    <n v="0"/>
    <n v="5"/>
    <s v="CUS-2084"/>
    <n v="250000"/>
    <s v="Lagos"/>
    <x v="64"/>
    <x v="2"/>
    <n v="24000"/>
    <n v="9500"/>
    <s v="2025-02"/>
  </r>
  <r>
    <s v="ORD-7071"/>
    <x v="157"/>
    <x v="3"/>
    <s v="Amaka Obi"/>
    <x v="1"/>
    <x v="6"/>
    <x v="4"/>
    <n v="1"/>
    <n v="6800"/>
    <n v="3900"/>
    <n v="0"/>
    <n v="7"/>
    <s v="CUS-2031"/>
    <n v="500000"/>
    <s v="Lagos"/>
    <x v="65"/>
    <x v="1"/>
    <n v="6800"/>
    <n v="2900"/>
    <s v="2025-02"/>
  </r>
  <r>
    <s v="ORD-7273"/>
    <x v="11"/>
    <x v="3"/>
    <s v="Amaka Obi"/>
    <x v="2"/>
    <x v="2"/>
    <x v="2"/>
    <n v="3"/>
    <n v="12000"/>
    <n v="7200"/>
    <n v="0"/>
    <n v="2"/>
    <s v="CUS-2033"/>
    <n v="50000"/>
    <s v="Lagos"/>
    <x v="66"/>
    <x v="2"/>
    <n v="36000"/>
    <n v="14400"/>
    <s v="2025-02"/>
  </r>
  <r>
    <s v="ORD-7391"/>
    <x v="158"/>
    <x v="3"/>
    <s v="Amaka Obi"/>
    <x v="0"/>
    <x v="4"/>
    <x v="1"/>
    <n v="4"/>
    <n v="27500"/>
    <n v="16500"/>
    <n v="0.05"/>
    <n v="1"/>
    <s v="CUS-2089"/>
    <n v="100000"/>
    <s v="Lagos"/>
    <x v="67"/>
    <x v="1"/>
    <n v="104500"/>
    <n v="38500"/>
    <s v="2025-02"/>
  </r>
  <r>
    <s v="ORD-7119"/>
    <x v="159"/>
    <x v="3"/>
    <s v="Amaka Obi"/>
    <x v="0"/>
    <x v="0"/>
    <x v="0"/>
    <n v="2"/>
    <n v="9800"/>
    <n v="7600"/>
    <n v="0"/>
    <n v="5"/>
    <s v="CUS-2103"/>
    <n v="100000"/>
    <s v="Lagos"/>
    <x v="63"/>
    <x v="1"/>
    <n v="19600"/>
    <n v="4400"/>
    <s v="2025-02"/>
  </r>
  <r>
    <s v="ORD-7241"/>
    <x v="12"/>
    <x v="3"/>
    <s v="Tunde Bello"/>
    <x v="2"/>
    <x v="9"/>
    <x v="5"/>
    <n v="3"/>
    <n v="18500"/>
    <n v="11800"/>
    <n v="0.1"/>
    <n v="2"/>
    <s v="CUS-2100"/>
    <n v="500000"/>
    <s v="Lagos"/>
    <x v="68"/>
    <x v="1"/>
    <n v="49950"/>
    <n v="14550"/>
    <s v="2025-02"/>
  </r>
  <r>
    <s v="ORD-7160"/>
    <x v="160"/>
    <x v="3"/>
    <s v="Amaka Obi"/>
    <x v="1"/>
    <x v="9"/>
    <x v="5"/>
    <n v="2"/>
    <n v="18500"/>
    <n v="11800"/>
    <n v="0"/>
    <n v="2"/>
    <s v="CUS-2027"/>
    <n v="150000"/>
    <s v="Lagos"/>
    <x v="57"/>
    <x v="1"/>
    <n v="37000"/>
    <n v="13400"/>
    <s v="2025-03"/>
  </r>
  <r>
    <s v="ORD-7038"/>
    <x v="117"/>
    <x v="3"/>
    <s v="Amaka Obi"/>
    <x v="1"/>
    <x v="7"/>
    <x v="0"/>
    <n v="5"/>
    <n v="46000"/>
    <n v="39000"/>
    <n v="0"/>
    <n v="3"/>
    <s v="CUS-2077"/>
    <n v="500000"/>
    <s v="Lagos"/>
    <x v="54"/>
    <x v="1"/>
    <n v="230000"/>
    <n v="35000"/>
    <s v="2025-03"/>
  </r>
  <r>
    <s v="ORD-7231"/>
    <x v="18"/>
    <x v="3"/>
    <s v="Amaka Obi"/>
    <x v="2"/>
    <x v="5"/>
    <x v="3"/>
    <n v="1"/>
    <n v="24000"/>
    <n v="14500"/>
    <n v="0"/>
    <n v="1"/>
    <s v="CUS-2017"/>
    <n v="250000"/>
    <s v="Lagos"/>
    <x v="50"/>
    <x v="2"/>
    <n v="24000"/>
    <n v="9500"/>
    <s v="2025-03"/>
  </r>
  <r>
    <s v="ORD-7191"/>
    <x v="161"/>
    <x v="3"/>
    <s v="Amaka Obi"/>
    <x v="1"/>
    <x v="10"/>
    <x v="2"/>
    <n v="5"/>
    <n v="28000"/>
    <n v="18500"/>
    <n v="0"/>
    <n v="2"/>
    <s v="CUS-2103"/>
    <n v="100000"/>
    <s v="Lagos"/>
    <x v="63"/>
    <x v="1"/>
    <n v="140000"/>
    <n v="47500"/>
    <s v="2025-03"/>
  </r>
  <r>
    <s v="ORD-7315"/>
    <x v="162"/>
    <x v="3"/>
    <s v="Tunde Bello"/>
    <x v="2"/>
    <x v="4"/>
    <x v="1"/>
    <n v="5"/>
    <n v="27500"/>
    <n v="16500"/>
    <n v="0"/>
    <n v="5"/>
    <s v="CUS-2103"/>
    <n v="100000"/>
    <s v="Lagos"/>
    <x v="63"/>
    <x v="1"/>
    <n v="137500"/>
    <n v="55000"/>
    <s v="2025-03"/>
  </r>
  <r>
    <s v="ORD-7017"/>
    <x v="163"/>
    <x v="3"/>
    <s v="Amaka Obi"/>
    <x v="0"/>
    <x v="5"/>
    <x v="3"/>
    <n v="2"/>
    <n v="24000"/>
    <n v="14500"/>
    <n v="0"/>
    <n v="1"/>
    <s v="CUS-2036"/>
    <n v="150000"/>
    <s v="Lagos"/>
    <x v="69"/>
    <x v="1"/>
    <n v="48000"/>
    <n v="19000"/>
    <s v="2025-03"/>
  </r>
  <r>
    <s v="ORD-7372"/>
    <x v="164"/>
    <x v="3"/>
    <s v="Tunde Bello"/>
    <x v="0"/>
    <x v="10"/>
    <x v="2"/>
    <n v="1"/>
    <n v="28000"/>
    <n v="18500"/>
    <n v="0"/>
    <n v="4"/>
    <s v="CUS-2083"/>
    <n v="150000"/>
    <s v="Lagos"/>
    <x v="55"/>
    <x v="1"/>
    <n v="28000"/>
    <n v="9500"/>
    <s v="2025-03"/>
  </r>
  <r>
    <s v="ORD-7027"/>
    <x v="165"/>
    <x v="3"/>
    <s v="Tunde Bello"/>
    <x v="1"/>
    <x v="1"/>
    <x v="1"/>
    <n v="3"/>
    <n v="41000"/>
    <n v="25000"/>
    <n v="0"/>
    <n v="3"/>
    <s v="CUS-2005"/>
    <n v="500000"/>
    <s v="Lagos"/>
    <x v="70"/>
    <x v="1"/>
    <n v="123000"/>
    <n v="48000"/>
    <s v="2025-04"/>
  </r>
  <r>
    <s v="ORD-7140"/>
    <x v="165"/>
    <x v="3"/>
    <s v="Amaka Obi"/>
    <x v="0"/>
    <x v="3"/>
    <x v="3"/>
    <n v="1"/>
    <n v="32000"/>
    <n v="21000"/>
    <n v="0"/>
    <n v="2"/>
    <s v="CUS-2029"/>
    <n v="100000"/>
    <s v="Lagos"/>
    <x v="71"/>
    <x v="2"/>
    <n v="32000"/>
    <n v="11000"/>
    <s v="2025-04"/>
  </r>
  <r>
    <s v="ORD-7151"/>
    <x v="19"/>
    <x v="3"/>
    <s v="Tunde Bello"/>
    <x v="0"/>
    <x v="7"/>
    <x v="0"/>
    <n v="5"/>
    <n v="46000"/>
    <n v="39000"/>
    <n v="0.05"/>
    <n v="2"/>
    <s v="CUS-2066"/>
    <n v="150000"/>
    <s v="Lagos"/>
    <x v="72"/>
    <x v="1"/>
    <n v="218500"/>
    <n v="23500"/>
    <s v="2025-04"/>
  </r>
  <r>
    <s v="ORD-7240"/>
    <x v="166"/>
    <x v="3"/>
    <s v="Amaka Obi"/>
    <x v="0"/>
    <x v="11"/>
    <x v="5"/>
    <n v="1"/>
    <n v="22000"/>
    <n v="13800"/>
    <n v="0"/>
    <n v="3"/>
    <s v="CUS-2004"/>
    <n v="500000"/>
    <s v="Lagos"/>
    <x v="11"/>
    <x v="2"/>
    <n v="22000"/>
    <n v="8200"/>
    <s v="2025-04"/>
  </r>
  <r>
    <s v="ORD-7211"/>
    <x v="167"/>
    <x v="3"/>
    <s v="Tunde Bello"/>
    <x v="3"/>
    <x v="8"/>
    <x v="5"/>
    <n v="3"/>
    <n v="15500"/>
    <n v="9900"/>
    <n v="0"/>
    <n v="4"/>
    <s v="CUS-2005"/>
    <n v="500000"/>
    <s v="Lagos"/>
    <x v="70"/>
    <x v="1"/>
    <n v="46500"/>
    <n v="16800"/>
    <s v="2025-04"/>
  </r>
  <r>
    <s v="ORD-7007"/>
    <x v="168"/>
    <x v="3"/>
    <s v="Amaka Obi"/>
    <x v="0"/>
    <x v="9"/>
    <x v="5"/>
    <n v="5"/>
    <n v="18500"/>
    <n v="11800"/>
    <n v="0"/>
    <n v="5"/>
    <s v="CUS-2037"/>
    <n v="500000"/>
    <s v="Lagos"/>
    <x v="73"/>
    <x v="1"/>
    <n v="92500"/>
    <n v="33500"/>
    <s v="2025-04"/>
  </r>
  <r>
    <s v="ORD-7128"/>
    <x v="168"/>
    <x v="3"/>
    <s v="Amaka Obi"/>
    <x v="3"/>
    <x v="10"/>
    <x v="2"/>
    <n v="2"/>
    <n v="28000"/>
    <n v="18500"/>
    <n v="0"/>
    <n v="4"/>
    <s v="CUS-2077"/>
    <n v="500000"/>
    <s v="Lagos"/>
    <x v="54"/>
    <x v="1"/>
    <n v="56000"/>
    <n v="19000"/>
    <s v="2025-04"/>
  </r>
  <r>
    <s v="ORD-7249"/>
    <x v="169"/>
    <x v="3"/>
    <s v="Tunde Bello"/>
    <x v="2"/>
    <x v="0"/>
    <x v="0"/>
    <n v="1"/>
    <n v="9800"/>
    <n v="7600"/>
    <n v="0"/>
    <n v="3"/>
    <s v="CUS-2022"/>
    <n v="250000"/>
    <s v="Lagos"/>
    <x v="74"/>
    <x v="1"/>
    <n v="9800"/>
    <n v="2200"/>
    <s v="2025-04"/>
  </r>
  <r>
    <s v="ORD-7283"/>
    <x v="169"/>
    <x v="3"/>
    <s v="Tunde Bello"/>
    <x v="3"/>
    <x v="0"/>
    <x v="0"/>
    <n v="3"/>
    <n v="9800"/>
    <n v="7600"/>
    <n v="0"/>
    <n v="2"/>
    <s v="CUS-2011"/>
    <n v="250000"/>
    <s v="Lagos"/>
    <x v="1"/>
    <x v="2"/>
    <n v="29400"/>
    <n v="6600"/>
    <s v="2025-04"/>
  </r>
  <r>
    <s v="ORD-7226"/>
    <x v="21"/>
    <x v="3"/>
    <s v="Amaka Obi"/>
    <x v="1"/>
    <x v="5"/>
    <x v="3"/>
    <n v="1"/>
    <n v="24000"/>
    <n v="14500"/>
    <n v="0"/>
    <n v="1"/>
    <s v="CUS-2086"/>
    <n v="150000"/>
    <s v="Lagos"/>
    <x v="75"/>
    <x v="2"/>
    <n v="24000"/>
    <n v="9500"/>
    <s v="2025-04"/>
  </r>
  <r>
    <s v="ORD-7334"/>
    <x v="170"/>
    <x v="3"/>
    <s v="Tunde Bello"/>
    <x v="2"/>
    <x v="6"/>
    <x v="4"/>
    <n v="1"/>
    <n v="6800"/>
    <n v="3900"/>
    <n v="0"/>
    <n v="7"/>
    <s v="CUS-2066"/>
    <n v="150000"/>
    <s v="Lagos"/>
    <x v="72"/>
    <x v="1"/>
    <n v="6800"/>
    <n v="2900"/>
    <s v="2025-04"/>
  </r>
  <r>
    <s v="ORD-7181"/>
    <x v="22"/>
    <x v="3"/>
    <s v="Tunde Bello"/>
    <x v="2"/>
    <x v="1"/>
    <x v="1"/>
    <n v="8"/>
    <n v="41000"/>
    <n v="25000"/>
    <n v="0"/>
    <n v="2"/>
    <s v="CUS-2027"/>
    <n v="150000"/>
    <s v="Lagos"/>
    <x v="57"/>
    <x v="1"/>
    <n v="328000"/>
    <n v="128000"/>
    <s v="2025-04"/>
  </r>
  <r>
    <s v="ORD-7171"/>
    <x v="83"/>
    <x v="3"/>
    <s v="Amaka Obi"/>
    <x v="2"/>
    <x v="7"/>
    <x v="0"/>
    <n v="1"/>
    <n v="46000"/>
    <n v="39000"/>
    <n v="0"/>
    <n v="1"/>
    <s v="CUS-2060"/>
    <n v="100000"/>
    <s v="Lagos"/>
    <x v="21"/>
    <x v="2"/>
    <n v="46000"/>
    <n v="7000"/>
    <s v="2025-04"/>
  </r>
  <r>
    <s v="ORD-7073"/>
    <x v="171"/>
    <x v="3"/>
    <s v="Amaka Obi"/>
    <x v="1"/>
    <x v="10"/>
    <x v="2"/>
    <n v="3"/>
    <n v="28000"/>
    <n v="18500"/>
    <n v="0.05"/>
    <n v="7"/>
    <s v="CUS-2096"/>
    <n v="50000"/>
    <s v="Lagos"/>
    <x v="76"/>
    <x v="1"/>
    <n v="79800"/>
    <n v="24300"/>
    <s v="2025-04"/>
  </r>
  <r>
    <s v="ORD-7035"/>
    <x v="172"/>
    <x v="3"/>
    <s v="Amaka Obi"/>
    <x v="1"/>
    <x v="7"/>
    <x v="0"/>
    <n v="2"/>
    <n v="46000"/>
    <n v="39000"/>
    <n v="0"/>
    <n v="2"/>
    <s v="CUS-2118"/>
    <n v="50000"/>
    <s v="Lagos"/>
    <x v="77"/>
    <x v="1"/>
    <n v="92000"/>
    <n v="14000"/>
    <s v="2025-05"/>
  </r>
  <r>
    <s v="ORD-7033"/>
    <x v="25"/>
    <x v="3"/>
    <s v="Amaka Obi"/>
    <x v="1"/>
    <x v="10"/>
    <x v="2"/>
    <n v="10"/>
    <n v="28000"/>
    <n v="18500"/>
    <n v="0"/>
    <n v="5"/>
    <s v="CUS-2002"/>
    <n v="150000"/>
    <s v="Lagos"/>
    <x v="59"/>
    <x v="1"/>
    <n v="280000"/>
    <n v="95000"/>
    <s v="2025-05"/>
  </r>
  <r>
    <s v="ORD-7235"/>
    <x v="25"/>
    <x v="3"/>
    <s v="Tunde Bello"/>
    <x v="0"/>
    <x v="6"/>
    <x v="4"/>
    <n v="10"/>
    <n v="6800"/>
    <n v="3900"/>
    <n v="0"/>
    <n v="3"/>
    <s v="CUS-2092"/>
    <n v="250000"/>
    <s v="Lagos"/>
    <x v="78"/>
    <x v="1"/>
    <n v="68000"/>
    <n v="29000"/>
    <s v="2025-05"/>
  </r>
  <r>
    <s v="ORD-7351"/>
    <x v="25"/>
    <x v="3"/>
    <s v="Tunde Bello"/>
    <x v="1"/>
    <x v="9"/>
    <x v="5"/>
    <n v="5"/>
    <n v="18500"/>
    <n v="11800"/>
    <n v="0.1"/>
    <n v="3"/>
    <s v="CUS-2111"/>
    <n v="250000"/>
    <s v="Lagos"/>
    <x v="53"/>
    <x v="1"/>
    <n v="83250"/>
    <n v="24250"/>
    <s v="2025-05"/>
  </r>
  <r>
    <s v="ORD-7201"/>
    <x v="173"/>
    <x v="3"/>
    <s v="Tunde Bello"/>
    <x v="0"/>
    <x v="3"/>
    <x v="3"/>
    <n v="5"/>
    <n v="32000"/>
    <n v="21000"/>
    <n v="0"/>
    <n v="2"/>
    <s v="CUS-2011"/>
    <n v="250000"/>
    <s v="Lagos"/>
    <x v="1"/>
    <x v="2"/>
    <n v="160000"/>
    <n v="55000"/>
    <s v="2025-05"/>
  </r>
  <r>
    <s v="ORD-7278"/>
    <x v="174"/>
    <x v="3"/>
    <s v="Amaka Obi"/>
    <x v="1"/>
    <x v="9"/>
    <x v="5"/>
    <n v="1"/>
    <n v="18500"/>
    <n v="11800"/>
    <n v="0"/>
    <n v="5"/>
    <s v="CUS-2083"/>
    <n v="150000"/>
    <s v="Lagos"/>
    <x v="55"/>
    <x v="1"/>
    <n v="18500"/>
    <n v="6700"/>
    <s v="2025-05"/>
  </r>
  <r>
    <s v="ORD-7330"/>
    <x v="175"/>
    <x v="3"/>
    <s v="Amaka Obi"/>
    <x v="0"/>
    <x v="7"/>
    <x v="0"/>
    <n v="3"/>
    <n v="46000"/>
    <n v="39000"/>
    <n v="0"/>
    <n v="1"/>
    <s v="CUS-2088"/>
    <n v="150000"/>
    <s v="Lagos"/>
    <x v="79"/>
    <x v="2"/>
    <n v="138000"/>
    <n v="21000"/>
    <s v="2025-05"/>
  </r>
  <r>
    <s v="ORD-7182"/>
    <x v="176"/>
    <x v="3"/>
    <s v="Tunde Bello"/>
    <x v="1"/>
    <x v="7"/>
    <x v="0"/>
    <n v="1"/>
    <n v="46000"/>
    <n v="39000"/>
    <n v="0"/>
    <n v="3"/>
    <s v="CUS-2117"/>
    <n v="150000"/>
    <s v="Lagos"/>
    <x v="80"/>
    <x v="0"/>
    <n v="46000"/>
    <n v="7000"/>
    <s v="2025-05"/>
  </r>
  <r>
    <s v="ORD-7244"/>
    <x v="29"/>
    <x v="3"/>
    <s v="Tunde Bello"/>
    <x v="0"/>
    <x v="4"/>
    <x v="1"/>
    <n v="8"/>
    <n v="27500"/>
    <n v="16500"/>
    <n v="0"/>
    <n v="4"/>
    <s v="CUS-2013"/>
    <n v="150000"/>
    <s v="Lagos"/>
    <x v="52"/>
    <x v="0"/>
    <n v="220000"/>
    <n v="88000"/>
    <s v="2025-05"/>
  </r>
  <r>
    <s v="ORD-7051"/>
    <x v="177"/>
    <x v="3"/>
    <s v="Tunde Bello"/>
    <x v="0"/>
    <x v="0"/>
    <x v="0"/>
    <n v="2"/>
    <n v="9800"/>
    <n v="7600"/>
    <n v="0"/>
    <n v="5"/>
    <s v="CUS-2001"/>
    <n v="500000"/>
    <s v="Lagos"/>
    <x v="81"/>
    <x v="1"/>
    <n v="19600"/>
    <n v="4400"/>
    <s v="2025-05"/>
  </r>
  <r>
    <s v="ORD-7112"/>
    <x v="178"/>
    <x v="3"/>
    <s v="Tunde Bello"/>
    <x v="2"/>
    <x v="7"/>
    <x v="0"/>
    <n v="5"/>
    <n v="46000"/>
    <n v="39000"/>
    <n v="0"/>
    <n v="1"/>
    <s v="CUS-2030"/>
    <n v="500000"/>
    <s v="Lagos"/>
    <x v="56"/>
    <x v="2"/>
    <n v="230000"/>
    <n v="35000"/>
    <s v="2025-05"/>
  </r>
  <r>
    <s v="ORD-7385"/>
    <x v="87"/>
    <x v="3"/>
    <s v="Amaka Obi"/>
    <x v="0"/>
    <x v="0"/>
    <x v="0"/>
    <n v="1"/>
    <n v="9800"/>
    <n v="7600"/>
    <n v="0"/>
    <n v="4"/>
    <s v="CUS-2069"/>
    <n v="150000"/>
    <s v="Lagos"/>
    <x v="82"/>
    <x v="0"/>
    <n v="9800"/>
    <n v="2200"/>
    <s v="2025-05"/>
  </r>
  <r>
    <s v="ORD-7024"/>
    <x v="179"/>
    <x v="3"/>
    <s v="Amaka Obi"/>
    <x v="1"/>
    <x v="9"/>
    <x v="5"/>
    <n v="10"/>
    <n v="18500"/>
    <n v="11800"/>
    <n v="0"/>
    <n v="1"/>
    <s v="CUS-2088"/>
    <n v="150000"/>
    <s v="Lagos"/>
    <x v="79"/>
    <x v="2"/>
    <n v="185000"/>
    <n v="67000"/>
    <s v="2025-05"/>
  </r>
  <r>
    <s v="ORD-7393"/>
    <x v="88"/>
    <x v="3"/>
    <s v="Tunde Bello"/>
    <x v="0"/>
    <x v="5"/>
    <x v="3"/>
    <n v="2"/>
    <n v="24000"/>
    <n v="14500"/>
    <n v="0"/>
    <n v="2"/>
    <s v="CUS-2071"/>
    <n v="50000"/>
    <s v="Lagos"/>
    <x v="58"/>
    <x v="1"/>
    <n v="48000"/>
    <n v="19000"/>
    <s v="2025-05"/>
  </r>
  <r>
    <s v="ORD-7361"/>
    <x v="32"/>
    <x v="3"/>
    <s v="Amaka Obi"/>
    <x v="3"/>
    <x v="2"/>
    <x v="2"/>
    <n v="5"/>
    <n v="12000"/>
    <n v="7200"/>
    <n v="0"/>
    <n v="3"/>
    <s v="CUS-2042"/>
    <n v="50000"/>
    <s v="Lagos"/>
    <x v="83"/>
    <x v="2"/>
    <n v="60000"/>
    <n v="24000"/>
    <s v="2025-06"/>
  </r>
  <r>
    <s v="ORD-7258"/>
    <x v="33"/>
    <x v="3"/>
    <s v="Amaka Obi"/>
    <x v="2"/>
    <x v="5"/>
    <x v="3"/>
    <n v="3"/>
    <n v="24000"/>
    <n v="14500"/>
    <n v="0"/>
    <n v="2"/>
    <s v="CUS-2092"/>
    <n v="250000"/>
    <s v="Lagos"/>
    <x v="78"/>
    <x v="1"/>
    <n v="72000"/>
    <n v="28500"/>
    <s v="2025-06"/>
  </r>
  <r>
    <s v="ORD-7311"/>
    <x v="34"/>
    <x v="3"/>
    <s v="Amaka Obi"/>
    <x v="2"/>
    <x v="6"/>
    <x v="4"/>
    <n v="5"/>
    <n v="6800"/>
    <n v="3900"/>
    <n v="0"/>
    <n v="3"/>
    <s v="CUS-2106"/>
    <n v="100000"/>
    <s v="Lagos"/>
    <x v="84"/>
    <x v="2"/>
    <n v="34000"/>
    <n v="14500"/>
    <s v="2025-06"/>
  </r>
  <r>
    <s v="ORD-7138"/>
    <x v="180"/>
    <x v="3"/>
    <s v="Amaka Obi"/>
    <x v="0"/>
    <x v="9"/>
    <x v="5"/>
    <n v="3"/>
    <n v="18500"/>
    <n v="11800"/>
    <n v="0"/>
    <n v="2"/>
    <s v="CUS-2100"/>
    <n v="500000"/>
    <s v="Lagos"/>
    <x v="68"/>
    <x v="1"/>
    <n v="55500"/>
    <n v="20100"/>
    <s v="2025-06"/>
  </r>
  <r>
    <s v="ORD-7239"/>
    <x v="180"/>
    <x v="3"/>
    <s v="Amaka Obi"/>
    <x v="3"/>
    <x v="5"/>
    <x v="3"/>
    <n v="4"/>
    <n v="24000"/>
    <n v="14500"/>
    <n v="0"/>
    <n v="4"/>
    <s v="CUS-2069"/>
    <n v="150000"/>
    <s v="Lagos"/>
    <x v="82"/>
    <x v="0"/>
    <n v="96000"/>
    <n v="38000"/>
    <s v="2025-06"/>
  </r>
  <r>
    <s v="ORD-7412"/>
    <x v="181"/>
    <x v="3"/>
    <s v="Amaka Obi"/>
    <x v="0"/>
    <x v="3"/>
    <x v="3"/>
    <n v="5"/>
    <n v="32000"/>
    <n v="21000"/>
    <n v="0"/>
    <n v="3"/>
    <s v="CUS-2056"/>
    <n v="500000"/>
    <s v="Lagos"/>
    <x v="85"/>
    <x v="2"/>
    <n v="160000"/>
    <n v="55000"/>
    <s v="2025-06"/>
  </r>
  <r>
    <s v="ORD-7163"/>
    <x v="182"/>
    <x v="3"/>
    <s v="Amaka Obi"/>
    <x v="2"/>
    <x v="7"/>
    <x v="0"/>
    <n v="1"/>
    <n v="46000"/>
    <n v="39000"/>
    <n v="0"/>
    <n v="2"/>
    <s v="CUS-2062"/>
    <n v="500000"/>
    <s v="Lagos"/>
    <x v="86"/>
    <x v="1"/>
    <n v="46000"/>
    <n v="7000"/>
    <s v="2025-06"/>
  </r>
  <r>
    <s v="ORD-7223"/>
    <x v="36"/>
    <x v="3"/>
    <s v="Amaka Obi"/>
    <x v="0"/>
    <x v="1"/>
    <x v="1"/>
    <n v="1"/>
    <n v="41000"/>
    <n v="25000"/>
    <n v="0"/>
    <n v="1"/>
    <s v="CUS-2086"/>
    <n v="150000"/>
    <s v="Lagos"/>
    <x v="75"/>
    <x v="2"/>
    <n v="41000"/>
    <n v="16000"/>
    <s v="2025-06"/>
  </r>
  <r>
    <s v="ORD-7332"/>
    <x v="183"/>
    <x v="3"/>
    <s v="Amaka Obi"/>
    <x v="1"/>
    <x v="9"/>
    <x v="5"/>
    <n v="3"/>
    <n v="18500"/>
    <n v="11800"/>
    <n v="0"/>
    <n v="1"/>
    <s v="CUS-2066"/>
    <n v="150000"/>
    <s v="Lagos"/>
    <x v="72"/>
    <x v="1"/>
    <n v="55500"/>
    <n v="20100"/>
    <s v="2025-06"/>
  </r>
  <r>
    <s v="ORD-7133"/>
    <x v="37"/>
    <x v="3"/>
    <s v="Tunde Bello"/>
    <x v="2"/>
    <x v="0"/>
    <x v="0"/>
    <n v="2"/>
    <n v="9800"/>
    <n v="7600"/>
    <n v="0"/>
    <n v="5"/>
    <s v="CUS-2086"/>
    <n v="150000"/>
    <s v="Lagos"/>
    <x v="75"/>
    <x v="2"/>
    <n v="19600"/>
    <n v="4400"/>
    <s v="2025-06"/>
  </r>
  <r>
    <s v="ORD-7402"/>
    <x v="184"/>
    <x v="3"/>
    <s v="Tunde Bello"/>
    <x v="2"/>
    <x v="10"/>
    <x v="2"/>
    <n v="10"/>
    <n v="28000"/>
    <n v="18500"/>
    <n v="0"/>
    <n v="2"/>
    <s v="CUS-2011"/>
    <n v="250000"/>
    <s v="Lagos"/>
    <x v="1"/>
    <x v="2"/>
    <n v="280000"/>
    <n v="95000"/>
    <s v="2025-06"/>
  </r>
  <r>
    <s v="ORD-7029"/>
    <x v="185"/>
    <x v="3"/>
    <s v="Amaka Obi"/>
    <x v="0"/>
    <x v="8"/>
    <x v="5"/>
    <n v="8"/>
    <n v="15500"/>
    <n v="9900"/>
    <n v="0"/>
    <n v="3"/>
    <s v="CUS-2108"/>
    <n v="50000"/>
    <s v="Lagos"/>
    <x v="59"/>
    <x v="1"/>
    <n v="124000"/>
    <n v="44800"/>
    <s v="2025-06"/>
  </r>
  <r>
    <s v="ORD-7168"/>
    <x v="92"/>
    <x v="3"/>
    <s v="Amaka Obi"/>
    <x v="0"/>
    <x v="9"/>
    <x v="5"/>
    <n v="3"/>
    <n v="18500"/>
    <n v="11800"/>
    <n v="0"/>
    <n v="1"/>
    <s v="CUS-2005"/>
    <n v="500000"/>
    <s v="Lagos"/>
    <x v="70"/>
    <x v="1"/>
    <n v="55500"/>
    <n v="20100"/>
    <s v="2025-06"/>
  </r>
  <r>
    <s v="ORD-7008"/>
    <x v="186"/>
    <x v="3"/>
    <s v="Tunde Bello"/>
    <x v="0"/>
    <x v="11"/>
    <x v="5"/>
    <n v="1"/>
    <n v="22000"/>
    <n v="13800"/>
    <n v="0.1"/>
    <n v="2"/>
    <s v="CUS-2089"/>
    <n v="100000"/>
    <s v="Lagos"/>
    <x v="67"/>
    <x v="1"/>
    <n v="19800"/>
    <n v="6000"/>
    <s v="2025-06"/>
  </r>
  <r>
    <s v="ORD-7373"/>
    <x v="186"/>
    <x v="3"/>
    <s v="Amaka Obi"/>
    <x v="1"/>
    <x v="5"/>
    <x v="3"/>
    <n v="3"/>
    <n v="24000"/>
    <n v="14500"/>
    <n v="0"/>
    <n v="2"/>
    <s v="CUS-2029"/>
    <n v="100000"/>
    <s v="Lagos"/>
    <x v="71"/>
    <x v="2"/>
    <n v="72000"/>
    <n v="28500"/>
    <s v="2025-06"/>
  </r>
  <r>
    <s v="ORD-7417"/>
    <x v="187"/>
    <x v="3"/>
    <s v="Amaka Obi"/>
    <x v="1"/>
    <x v="7"/>
    <x v="0"/>
    <n v="2"/>
    <n v="46000"/>
    <n v="39000"/>
    <n v="0"/>
    <n v="1"/>
    <s v="CUS-2115"/>
    <n v="50000"/>
    <s v="Lagos"/>
    <x v="87"/>
    <x v="1"/>
    <n v="92000"/>
    <n v="14000"/>
    <s v="2025-07"/>
  </r>
  <r>
    <s v="ORD-7108"/>
    <x v="188"/>
    <x v="3"/>
    <s v="Amaka Obi"/>
    <x v="1"/>
    <x v="11"/>
    <x v="5"/>
    <n v="8"/>
    <n v="22000"/>
    <n v="13800"/>
    <n v="0"/>
    <n v="2"/>
    <s v="CUS-2106"/>
    <n v="100000"/>
    <s v="Lagos"/>
    <x v="84"/>
    <x v="2"/>
    <n v="176000"/>
    <n v="65600"/>
    <s v="2025-07"/>
  </r>
  <r>
    <s v="ORD-7019"/>
    <x v="95"/>
    <x v="3"/>
    <s v="Tunde Bello"/>
    <x v="2"/>
    <x v="8"/>
    <x v="5"/>
    <n v="1"/>
    <n v="15500"/>
    <n v="9900"/>
    <n v="0"/>
    <n v="1"/>
    <s v="CUS-2053"/>
    <n v="250000"/>
    <s v="Lagos"/>
    <x v="61"/>
    <x v="1"/>
    <n v="15500"/>
    <n v="5600"/>
    <s v="2025-07"/>
  </r>
  <r>
    <s v="ORD-7015"/>
    <x v="189"/>
    <x v="3"/>
    <s v="Amaka Obi"/>
    <x v="2"/>
    <x v="8"/>
    <x v="5"/>
    <n v="2"/>
    <n v="15500"/>
    <n v="9900"/>
    <n v="0"/>
    <n v="1"/>
    <s v="CUS-2013"/>
    <n v="150000"/>
    <s v="Lagos"/>
    <x v="52"/>
    <x v="0"/>
    <n v="31000"/>
    <n v="11200"/>
    <s v="2025-07"/>
  </r>
  <r>
    <s v="ORD-7304"/>
    <x v="126"/>
    <x v="3"/>
    <s v="Tunde Bello"/>
    <x v="0"/>
    <x v="6"/>
    <x v="4"/>
    <n v="5"/>
    <n v="6800"/>
    <n v="3900"/>
    <n v="0.1"/>
    <n v="5"/>
    <s v="CUS-2103"/>
    <n v="100000"/>
    <s v="Lagos"/>
    <x v="63"/>
    <x v="1"/>
    <n v="30600"/>
    <n v="11100"/>
    <s v="2025-07"/>
  </r>
  <r>
    <s v="ORD-7004"/>
    <x v="190"/>
    <x v="3"/>
    <s v="Amaka Obi"/>
    <x v="1"/>
    <x v="9"/>
    <x v="5"/>
    <n v="2"/>
    <n v="18500"/>
    <n v="11800"/>
    <n v="0"/>
    <n v="3"/>
    <s v="CUS-2002"/>
    <n v="150000"/>
    <s v="Lagos"/>
    <x v="59"/>
    <x v="1"/>
    <n v="37000"/>
    <n v="13400"/>
    <s v="2025-07"/>
  </r>
  <r>
    <s v="ORD-7167"/>
    <x v="45"/>
    <x v="3"/>
    <s v="Tunde Bello"/>
    <x v="2"/>
    <x v="1"/>
    <x v="1"/>
    <n v="8"/>
    <n v="41000"/>
    <n v="25000"/>
    <n v="0"/>
    <n v="3"/>
    <s v="CUS-2015"/>
    <n v="250000"/>
    <s v="Lagos"/>
    <x v="88"/>
    <x v="0"/>
    <n v="328000"/>
    <n v="128000"/>
    <s v="2025-07"/>
  </r>
  <r>
    <s v="ORD-7158"/>
    <x v="47"/>
    <x v="3"/>
    <s v="Tunde Bello"/>
    <x v="3"/>
    <x v="8"/>
    <x v="5"/>
    <n v="2"/>
    <n v="15500"/>
    <n v="9900"/>
    <n v="0"/>
    <n v="3"/>
    <s v="CUS-2106"/>
    <n v="100000"/>
    <s v="Lagos"/>
    <x v="84"/>
    <x v="2"/>
    <n v="31000"/>
    <n v="11200"/>
    <s v="2025-08"/>
  </r>
  <r>
    <s v="ORD-7346"/>
    <x v="47"/>
    <x v="3"/>
    <s v="Amaka Obi"/>
    <x v="0"/>
    <x v="1"/>
    <x v="1"/>
    <n v="1"/>
    <n v="41000"/>
    <n v="25000"/>
    <n v="0"/>
    <n v="10"/>
    <s v="CUS-2106"/>
    <n v="100000"/>
    <s v="Lagos"/>
    <x v="84"/>
    <x v="2"/>
    <n v="41000"/>
    <n v="16000"/>
    <s v="2025-08"/>
  </r>
  <r>
    <s v="ORD-7193"/>
    <x v="50"/>
    <x v="3"/>
    <s v="Tunde Bello"/>
    <x v="0"/>
    <x v="6"/>
    <x v="4"/>
    <n v="2"/>
    <n v="6800"/>
    <n v="3900"/>
    <n v="0"/>
    <n v="4"/>
    <s v="CUS-2042"/>
    <n v="50000"/>
    <s v="Lagos"/>
    <x v="83"/>
    <x v="2"/>
    <n v="13600"/>
    <n v="5800"/>
    <s v="2025-08"/>
  </r>
  <r>
    <s v="ORD-7217"/>
    <x v="191"/>
    <x v="3"/>
    <s v="Tunde Bello"/>
    <x v="0"/>
    <x v="4"/>
    <x v="1"/>
    <n v="1"/>
    <n v="27500"/>
    <n v="16500"/>
    <n v="0"/>
    <n v="1"/>
    <s v="CUS-2062"/>
    <n v="500000"/>
    <s v="Lagos"/>
    <x v="86"/>
    <x v="1"/>
    <n v="27500"/>
    <n v="11000"/>
    <s v="2025-08"/>
  </r>
  <r>
    <s v="ORD-7111"/>
    <x v="52"/>
    <x v="3"/>
    <s v="Tunde Bello"/>
    <x v="2"/>
    <x v="9"/>
    <x v="5"/>
    <n v="3"/>
    <n v="18500"/>
    <n v="11800"/>
    <n v="0"/>
    <n v="1"/>
    <s v="CUS-2037"/>
    <n v="500000"/>
    <s v="Lagos"/>
    <x v="73"/>
    <x v="1"/>
    <n v="55500"/>
    <n v="20100"/>
    <s v="2025-08"/>
  </r>
  <r>
    <s v="ORD-7210"/>
    <x v="52"/>
    <x v="3"/>
    <s v="Tunde Bello"/>
    <x v="2"/>
    <x v="11"/>
    <x v="5"/>
    <n v="1"/>
    <n v="22000"/>
    <n v="13800"/>
    <n v="0"/>
    <n v="3"/>
    <s v="CUS-2106"/>
    <n v="100000"/>
    <s v="Lagos"/>
    <x v="84"/>
    <x v="2"/>
    <n v="22000"/>
    <n v="8200"/>
    <s v="2025-08"/>
  </r>
  <r>
    <s v="ORD-7292"/>
    <x v="53"/>
    <x v="3"/>
    <s v="Tunde Bello"/>
    <x v="1"/>
    <x v="7"/>
    <x v="0"/>
    <n v="1"/>
    <n v="46000"/>
    <n v="39000"/>
    <n v="0.1"/>
    <n v="2"/>
    <s v="CUS-2002"/>
    <n v="150000"/>
    <s v="Lagos"/>
    <x v="59"/>
    <x v="1"/>
    <n v="41400"/>
    <n v="2400"/>
    <s v="2025-08"/>
  </r>
  <r>
    <s v="ORD-7377"/>
    <x v="53"/>
    <x v="3"/>
    <s v="Tunde Bello"/>
    <x v="2"/>
    <x v="10"/>
    <x v="2"/>
    <n v="1"/>
    <n v="28000"/>
    <n v="18500"/>
    <n v="0.1"/>
    <n v="7"/>
    <s v="CUS-2108"/>
    <n v="50000"/>
    <s v="Lagos"/>
    <x v="59"/>
    <x v="1"/>
    <n v="25200"/>
    <n v="6700"/>
    <s v="2025-08"/>
  </r>
  <r>
    <s v="ORD-7002"/>
    <x v="54"/>
    <x v="3"/>
    <s v="Amaka Obi"/>
    <x v="2"/>
    <x v="3"/>
    <x v="3"/>
    <n v="1"/>
    <n v="32000"/>
    <n v="21000"/>
    <n v="0"/>
    <n v="5"/>
    <s v="CUS-2117"/>
    <n v="150000"/>
    <s v="Lagos"/>
    <x v="80"/>
    <x v="0"/>
    <n v="32000"/>
    <n v="11000"/>
    <s v="2025-08"/>
  </r>
  <r>
    <s v="ORD-7253"/>
    <x v="192"/>
    <x v="3"/>
    <s v="Tunde Bello"/>
    <x v="0"/>
    <x v="0"/>
    <x v="0"/>
    <n v="1"/>
    <n v="9800"/>
    <n v="7600"/>
    <n v="0"/>
    <n v="3"/>
    <s v="CUS-2002"/>
    <n v="150000"/>
    <s v="Lagos"/>
    <x v="59"/>
    <x v="1"/>
    <n v="9800"/>
    <n v="2200"/>
    <s v="2025-08"/>
  </r>
  <r>
    <s v="ORD-7114"/>
    <x v="193"/>
    <x v="3"/>
    <s v="Tunde Bello"/>
    <x v="1"/>
    <x v="2"/>
    <x v="2"/>
    <n v="1"/>
    <n v="12000"/>
    <n v="7200"/>
    <n v="0"/>
    <n v="7"/>
    <s v="CUS-2014"/>
    <n v="50000"/>
    <s v="Lagos"/>
    <x v="89"/>
    <x v="2"/>
    <n v="12000"/>
    <n v="4800"/>
    <s v="2025-08"/>
  </r>
  <r>
    <s v="ORD-7070"/>
    <x v="194"/>
    <x v="3"/>
    <s v="Tunde Bello"/>
    <x v="2"/>
    <x v="8"/>
    <x v="5"/>
    <n v="3"/>
    <n v="15500"/>
    <n v="9900"/>
    <n v="0"/>
    <n v="4"/>
    <s v="CUS-2084"/>
    <n v="250000"/>
    <s v="Lagos"/>
    <x v="64"/>
    <x v="2"/>
    <n v="46500"/>
    <n v="16800"/>
    <s v="2025-08"/>
  </r>
  <r>
    <s v="ORD-7170"/>
    <x v="99"/>
    <x v="3"/>
    <s v="Tunde Bello"/>
    <x v="1"/>
    <x v="7"/>
    <x v="0"/>
    <n v="4"/>
    <n v="46000"/>
    <n v="39000"/>
    <n v="0"/>
    <n v="5"/>
    <s v="CUS-2030"/>
    <n v="500000"/>
    <s v="Lagos"/>
    <x v="56"/>
    <x v="2"/>
    <n v="184000"/>
    <n v="28000"/>
    <s v="2025-08"/>
  </r>
  <r>
    <s v="ORD-7022"/>
    <x v="132"/>
    <x v="3"/>
    <s v="Amaka Obi"/>
    <x v="3"/>
    <x v="8"/>
    <x v="5"/>
    <n v="3"/>
    <n v="15500"/>
    <n v="9900"/>
    <n v="0"/>
    <n v="4"/>
    <s v="CUS-2002"/>
    <n v="150000"/>
    <s v="Lagos"/>
    <x v="59"/>
    <x v="1"/>
    <n v="46500"/>
    <n v="16800"/>
    <s v="2025-08"/>
  </r>
  <r>
    <s v="ORD-7236"/>
    <x v="132"/>
    <x v="3"/>
    <s v="Tunde Bello"/>
    <x v="0"/>
    <x v="6"/>
    <x v="4"/>
    <n v="3"/>
    <n v="6800"/>
    <n v="3900"/>
    <n v="0.05"/>
    <n v="5"/>
    <s v="CUS-2005"/>
    <n v="500000"/>
    <s v="Lagos"/>
    <x v="70"/>
    <x v="1"/>
    <n v="19380"/>
    <n v="7680"/>
    <s v="2025-08"/>
  </r>
  <r>
    <s v="ORD-7072"/>
    <x v="195"/>
    <x v="3"/>
    <s v="Amaka Obi"/>
    <x v="3"/>
    <x v="7"/>
    <x v="0"/>
    <n v="1"/>
    <n v="46000"/>
    <n v="39000"/>
    <n v="0.05"/>
    <n v="3"/>
    <s v="CUS-2047"/>
    <n v="250000"/>
    <s v="Lagos"/>
    <x v="60"/>
    <x v="1"/>
    <n v="43700"/>
    <n v="4700"/>
    <s v="2025-09"/>
  </r>
  <r>
    <s v="ORD-7369"/>
    <x v="196"/>
    <x v="3"/>
    <s v="Tunde Bello"/>
    <x v="2"/>
    <x v="3"/>
    <x v="3"/>
    <n v="2"/>
    <n v="32000"/>
    <n v="21000"/>
    <n v="0"/>
    <n v="2"/>
    <s v="CUS-2029"/>
    <n v="100000"/>
    <s v="Lagos"/>
    <x v="71"/>
    <x v="2"/>
    <n v="64000"/>
    <n v="22000"/>
    <s v="2025-09"/>
  </r>
  <r>
    <s v="ORD-7371"/>
    <x v="197"/>
    <x v="3"/>
    <s v="Amaka Obi"/>
    <x v="0"/>
    <x v="2"/>
    <x v="2"/>
    <n v="5"/>
    <n v="12000"/>
    <n v="7200"/>
    <n v="0"/>
    <n v="2"/>
    <s v="CUS-2011"/>
    <n v="250000"/>
    <s v="Lagos"/>
    <x v="1"/>
    <x v="2"/>
    <n v="60000"/>
    <n v="24000"/>
    <s v="2025-09"/>
  </r>
  <r>
    <s v="ORD-7381"/>
    <x v="134"/>
    <x v="3"/>
    <s v="Tunde Bello"/>
    <x v="2"/>
    <x v="5"/>
    <x v="3"/>
    <n v="8"/>
    <n v="24000"/>
    <n v="14500"/>
    <n v="0"/>
    <n v="4"/>
    <s v="CUS-2106"/>
    <n v="100000"/>
    <s v="Lagos"/>
    <x v="84"/>
    <x v="2"/>
    <n v="192000"/>
    <n v="76000"/>
    <s v="2025-10"/>
  </r>
  <r>
    <s v="ORD-7016"/>
    <x v="198"/>
    <x v="3"/>
    <s v="Amaka Obi"/>
    <x v="3"/>
    <x v="0"/>
    <x v="0"/>
    <n v="2"/>
    <n v="9800"/>
    <n v="7600"/>
    <n v="0.05"/>
    <n v="7"/>
    <s v="CUS-2096"/>
    <n v="50000"/>
    <s v="Lagos"/>
    <x v="76"/>
    <x v="1"/>
    <n v="18620"/>
    <n v="3420"/>
    <s v="2025-10"/>
  </r>
  <r>
    <s v="ORD-7204"/>
    <x v="199"/>
    <x v="3"/>
    <s v="Tunde Bello"/>
    <x v="0"/>
    <x v="7"/>
    <x v="0"/>
    <n v="10"/>
    <n v="46000"/>
    <n v="39000"/>
    <n v="0"/>
    <n v="7"/>
    <s v="CUS-2106"/>
    <n v="100000"/>
    <s v="Lagos"/>
    <x v="84"/>
    <x v="2"/>
    <n v="460000"/>
    <n v="70000"/>
    <s v="2025-10"/>
  </r>
  <r>
    <s v="ORD-7317"/>
    <x v="62"/>
    <x v="3"/>
    <s v="Amaka Obi"/>
    <x v="1"/>
    <x v="11"/>
    <x v="5"/>
    <n v="2"/>
    <n v="22000"/>
    <n v="13800"/>
    <n v="0.1"/>
    <n v="2"/>
    <s v="CUS-2084"/>
    <n v="250000"/>
    <s v="Lagos"/>
    <x v="64"/>
    <x v="2"/>
    <n v="39600"/>
    <n v="12000"/>
    <s v="2025-10"/>
  </r>
  <r>
    <s v="ORD-7379"/>
    <x v="63"/>
    <x v="3"/>
    <s v="Amaka Obi"/>
    <x v="2"/>
    <x v="11"/>
    <x v="5"/>
    <n v="5"/>
    <n v="22000"/>
    <n v="13800"/>
    <n v="0"/>
    <n v="4"/>
    <s v="CUS-2037"/>
    <n v="500000"/>
    <s v="Lagos"/>
    <x v="73"/>
    <x v="1"/>
    <n v="110000"/>
    <n v="41000"/>
    <s v="2025-10"/>
  </r>
  <r>
    <s v="ORD-7127"/>
    <x v="64"/>
    <x v="3"/>
    <s v="Amaka Obi"/>
    <x v="1"/>
    <x v="0"/>
    <x v="0"/>
    <n v="1"/>
    <n v="9800"/>
    <n v="7600"/>
    <n v="0"/>
    <n v="2"/>
    <s v="CUS-2059"/>
    <n v="250000"/>
    <s v="Lagos"/>
    <x v="90"/>
    <x v="2"/>
    <n v="9800"/>
    <n v="2200"/>
    <s v="2025-10"/>
  </r>
  <r>
    <s v="ORD-7055"/>
    <x v="104"/>
    <x v="3"/>
    <s v="Amaka Obi"/>
    <x v="2"/>
    <x v="3"/>
    <x v="3"/>
    <n v="8"/>
    <n v="32000"/>
    <n v="21000"/>
    <n v="0"/>
    <n v="2"/>
    <s v="CUS-2004"/>
    <n v="500000"/>
    <s v="Lagos"/>
    <x v="11"/>
    <x v="2"/>
    <n v="256000"/>
    <n v="88000"/>
    <s v="2025-10"/>
  </r>
  <r>
    <s v="ORD-7328"/>
    <x v="104"/>
    <x v="3"/>
    <s v="Amaka Obi"/>
    <x v="2"/>
    <x v="3"/>
    <x v="3"/>
    <n v="5"/>
    <n v="32000"/>
    <n v="21000"/>
    <n v="0"/>
    <n v="1"/>
    <s v="CUS-2007"/>
    <n v="500000"/>
    <s v="Lagos"/>
    <x v="91"/>
    <x v="0"/>
    <n v="160000"/>
    <n v="55000"/>
    <s v="2025-10"/>
  </r>
  <r>
    <s v="ORD-7229"/>
    <x v="105"/>
    <x v="3"/>
    <s v="Amaka Obi"/>
    <x v="3"/>
    <x v="2"/>
    <x v="2"/>
    <n v="2"/>
    <n v="12000"/>
    <n v="7200"/>
    <n v="0"/>
    <n v="3"/>
    <s v="CUS-2062"/>
    <n v="500000"/>
    <s v="Lagos"/>
    <x v="86"/>
    <x v="1"/>
    <n v="24000"/>
    <n v="9600"/>
    <s v="2025-10"/>
  </r>
  <r>
    <s v="ORD-7260"/>
    <x v="105"/>
    <x v="3"/>
    <s v="Tunde Bello"/>
    <x v="0"/>
    <x v="2"/>
    <x v="2"/>
    <n v="2"/>
    <n v="12000"/>
    <n v="7200"/>
    <n v="0"/>
    <n v="2"/>
    <s v="CUS-2108"/>
    <n v="50000"/>
    <s v="Lagos"/>
    <x v="59"/>
    <x v="1"/>
    <n v="24000"/>
    <n v="9600"/>
    <s v="2025-10"/>
  </r>
  <r>
    <s v="ORD-7349"/>
    <x v="200"/>
    <x v="3"/>
    <s v="Amaka Obi"/>
    <x v="1"/>
    <x v="0"/>
    <x v="0"/>
    <n v="5"/>
    <n v="9800"/>
    <n v="7600"/>
    <n v="0"/>
    <n v="2"/>
    <s v="CUS-2086"/>
    <n v="150000"/>
    <s v="Lagos"/>
    <x v="75"/>
    <x v="2"/>
    <n v="49000"/>
    <n v="11000"/>
    <s v="2025-10"/>
  </r>
  <r>
    <s v="ORD-7259"/>
    <x v="66"/>
    <x v="3"/>
    <s v="Tunde Bello"/>
    <x v="2"/>
    <x v="7"/>
    <x v="0"/>
    <n v="3"/>
    <n v="46000"/>
    <n v="39000"/>
    <n v="0"/>
    <n v="4"/>
    <s v="CUS-2062"/>
    <n v="500000"/>
    <s v="Lagos"/>
    <x v="86"/>
    <x v="1"/>
    <n v="138000"/>
    <n v="21000"/>
    <s v="2025-10"/>
  </r>
  <r>
    <s v="ORD-7219"/>
    <x v="201"/>
    <x v="3"/>
    <s v="Tunde Bello"/>
    <x v="1"/>
    <x v="9"/>
    <x v="5"/>
    <n v="3"/>
    <n v="18500"/>
    <n v="11800"/>
    <n v="0"/>
    <n v="5"/>
    <s v="CUS-2037"/>
    <n v="500000"/>
    <s v="Lagos"/>
    <x v="73"/>
    <x v="1"/>
    <n v="55500"/>
    <n v="20100"/>
    <s v="2025-11"/>
  </r>
  <r>
    <s v="ORD-7347"/>
    <x v="69"/>
    <x v="3"/>
    <s v="Amaka Obi"/>
    <x v="1"/>
    <x v="10"/>
    <x v="2"/>
    <n v="4"/>
    <n v="28000"/>
    <n v="18500"/>
    <n v="0"/>
    <n v="1"/>
    <s v="CUS-2007"/>
    <n v="500000"/>
    <s v="Lagos"/>
    <x v="91"/>
    <x v="0"/>
    <n v="112000"/>
    <n v="38000"/>
    <s v="2025-11"/>
  </r>
  <r>
    <s v="ORD-7098"/>
    <x v="202"/>
    <x v="3"/>
    <s v="Amaka Obi"/>
    <x v="0"/>
    <x v="9"/>
    <x v="5"/>
    <n v="1"/>
    <n v="18500"/>
    <n v="11800"/>
    <n v="0"/>
    <n v="3"/>
    <s v="CUS-2092"/>
    <n v="250000"/>
    <s v="Lagos"/>
    <x v="78"/>
    <x v="1"/>
    <n v="18500"/>
    <n v="6700"/>
    <s v="2025-11"/>
  </r>
  <r>
    <s v="ORD-7348"/>
    <x v="202"/>
    <x v="3"/>
    <s v="Tunde Bello"/>
    <x v="1"/>
    <x v="1"/>
    <x v="1"/>
    <n v="6"/>
    <n v="41000"/>
    <n v="25000"/>
    <n v="0"/>
    <n v="7"/>
    <s v="CUS-2029"/>
    <n v="100000"/>
    <s v="Lagos"/>
    <x v="71"/>
    <x v="2"/>
    <n v="246000"/>
    <n v="96000"/>
    <s v="2025-11"/>
  </r>
  <r>
    <s v="ORD-7095"/>
    <x v="203"/>
    <x v="3"/>
    <s v="Amaka Obi"/>
    <x v="0"/>
    <x v="2"/>
    <x v="2"/>
    <n v="3"/>
    <n v="12000"/>
    <n v="7200"/>
    <n v="0"/>
    <n v="2"/>
    <s v="CUS-2053"/>
    <n v="250000"/>
    <s v="Lagos"/>
    <x v="61"/>
    <x v="1"/>
    <n v="36000"/>
    <n v="14400"/>
    <s v="2025-11"/>
  </r>
  <r>
    <s v="ORD-7399"/>
    <x v="70"/>
    <x v="3"/>
    <s v="Amaka Obi"/>
    <x v="0"/>
    <x v="4"/>
    <x v="1"/>
    <n v="7"/>
    <n v="27500"/>
    <n v="16500"/>
    <n v="0"/>
    <n v="3"/>
    <s v="CUS-2022"/>
    <n v="250000"/>
    <s v="Lagos"/>
    <x v="74"/>
    <x v="1"/>
    <n v="192500"/>
    <n v="77000"/>
    <s v="2025-11"/>
  </r>
  <r>
    <s v="ORD-7234"/>
    <x v="204"/>
    <x v="3"/>
    <s v="Tunde Bello"/>
    <x v="0"/>
    <x v="0"/>
    <x v="0"/>
    <n v="2"/>
    <n v="9800"/>
    <n v="7600"/>
    <n v="0.05"/>
    <n v="2"/>
    <s v="CUS-2071"/>
    <n v="50000"/>
    <s v="Lagos"/>
    <x v="58"/>
    <x v="1"/>
    <n v="18620"/>
    <n v="3420"/>
    <s v="2025-11"/>
  </r>
  <r>
    <s v="ORD-7335"/>
    <x v="204"/>
    <x v="3"/>
    <s v="Tunde Bello"/>
    <x v="1"/>
    <x v="9"/>
    <x v="5"/>
    <n v="4"/>
    <n v="18500"/>
    <n v="11800"/>
    <n v="0"/>
    <n v="10"/>
    <s v="CUS-2100"/>
    <n v="500000"/>
    <s v="Lagos"/>
    <x v="68"/>
    <x v="1"/>
    <n v="74000"/>
    <n v="26800"/>
    <s v="2025-11"/>
  </r>
  <r>
    <s v="ORD-7113"/>
    <x v="141"/>
    <x v="3"/>
    <s v="Amaka Obi"/>
    <x v="3"/>
    <x v="2"/>
    <x v="2"/>
    <n v="3"/>
    <n v="12000"/>
    <n v="7200"/>
    <n v="0.05"/>
    <n v="4"/>
    <s v="CUS-2056"/>
    <n v="500000"/>
    <s v="Lagos"/>
    <x v="85"/>
    <x v="2"/>
    <n v="34200"/>
    <n v="12600"/>
    <s v="2025-11"/>
  </r>
  <r>
    <s v="ORD-7117"/>
    <x v="141"/>
    <x v="3"/>
    <s v="Tunde Bello"/>
    <x v="0"/>
    <x v="9"/>
    <x v="5"/>
    <n v="3"/>
    <n v="18500"/>
    <n v="11800"/>
    <n v="0.05"/>
    <n v="2"/>
    <s v="CUS-2100"/>
    <n v="500000"/>
    <s v="Lagos"/>
    <x v="68"/>
    <x v="1"/>
    <n v="52725"/>
    <n v="17325"/>
    <s v="2025-11"/>
  </r>
  <r>
    <s v="ORD-7325"/>
    <x v="205"/>
    <x v="3"/>
    <s v="Tunde Bello"/>
    <x v="0"/>
    <x v="6"/>
    <x v="4"/>
    <n v="6"/>
    <n v="6800"/>
    <n v="3900"/>
    <n v="0"/>
    <n v="4"/>
    <s v="CUS-2015"/>
    <n v="250000"/>
    <s v="Lagos"/>
    <x v="88"/>
    <x v="0"/>
    <n v="40800"/>
    <n v="17400"/>
    <s v="2025-11"/>
  </r>
  <r>
    <s v="ORD-7192"/>
    <x v="206"/>
    <x v="3"/>
    <s v="Amaka Obi"/>
    <x v="1"/>
    <x v="9"/>
    <x v="5"/>
    <n v="3"/>
    <n v="18500"/>
    <n v="11800"/>
    <n v="0.1"/>
    <n v="3"/>
    <s v="CUS-2096"/>
    <n v="50000"/>
    <s v="Lagos"/>
    <x v="76"/>
    <x v="1"/>
    <n v="49950"/>
    <n v="14550"/>
    <s v="2025-11"/>
  </r>
  <r>
    <s v="ORD-7216"/>
    <x v="206"/>
    <x v="3"/>
    <s v="Amaka Obi"/>
    <x v="2"/>
    <x v="5"/>
    <x v="3"/>
    <n v="3"/>
    <n v="24000"/>
    <n v="14500"/>
    <n v="0"/>
    <n v="7"/>
    <s v="CUS-2100"/>
    <n v="500000"/>
    <s v="Lagos"/>
    <x v="68"/>
    <x v="1"/>
    <n v="72000"/>
    <n v="28500"/>
    <s v="2025-11"/>
  </r>
  <r>
    <s v="ORD-7413"/>
    <x v="109"/>
    <x v="3"/>
    <s v="Amaka Obi"/>
    <x v="0"/>
    <x v="6"/>
    <x v="4"/>
    <n v="1"/>
    <n v="6800"/>
    <n v="3900"/>
    <n v="0"/>
    <n v="4"/>
    <s v="CUS-2062"/>
    <n v="500000"/>
    <s v="Lagos"/>
    <x v="86"/>
    <x v="1"/>
    <n v="6800"/>
    <n v="2900"/>
    <s v="2025-11"/>
  </r>
  <r>
    <s v="ORD-7110"/>
    <x v="207"/>
    <x v="3"/>
    <s v="Amaka Obi"/>
    <x v="0"/>
    <x v="11"/>
    <x v="5"/>
    <n v="3"/>
    <n v="22000"/>
    <n v="13800"/>
    <n v="0"/>
    <n v="3"/>
    <s v="CUS-2092"/>
    <n v="250000"/>
    <s v="Lagos"/>
    <x v="78"/>
    <x v="1"/>
    <n v="66000"/>
    <n v="24600"/>
    <s v="2025-11"/>
  </r>
  <r>
    <s v="ORD-7238"/>
    <x v="207"/>
    <x v="3"/>
    <s v="Amaka Obi"/>
    <x v="2"/>
    <x v="11"/>
    <x v="5"/>
    <n v="4"/>
    <n v="22000"/>
    <n v="13800"/>
    <n v="0"/>
    <n v="3"/>
    <s v="CUS-2036"/>
    <n v="150000"/>
    <s v="Lagos"/>
    <x v="69"/>
    <x v="1"/>
    <n v="88000"/>
    <n v="32800"/>
    <s v="2025-11"/>
  </r>
  <r>
    <s v="ORD-7291"/>
    <x v="208"/>
    <x v="3"/>
    <s v="Tunde Bello"/>
    <x v="3"/>
    <x v="9"/>
    <x v="5"/>
    <n v="4"/>
    <n v="18500"/>
    <n v="11800"/>
    <n v="0"/>
    <n v="3"/>
    <s v="CUS-2004"/>
    <n v="500000"/>
    <s v="Lagos"/>
    <x v="11"/>
    <x v="2"/>
    <n v="74000"/>
    <n v="26800"/>
    <s v="2025-11"/>
  </r>
  <r>
    <s v="ORD-7124"/>
    <x v="209"/>
    <x v="3"/>
    <s v="Tunde Bello"/>
    <x v="0"/>
    <x v="10"/>
    <x v="2"/>
    <n v="3"/>
    <n v="28000"/>
    <n v="18500"/>
    <n v="0"/>
    <n v="3"/>
    <s v="CUS-2088"/>
    <n v="150000"/>
    <s v="Lagos"/>
    <x v="79"/>
    <x v="2"/>
    <n v="84000"/>
    <n v="28500"/>
    <s v="2025-11"/>
  </r>
  <r>
    <s v="ORD-7062"/>
    <x v="210"/>
    <x v="3"/>
    <s v="Amaka Obi"/>
    <x v="2"/>
    <x v="4"/>
    <x v="1"/>
    <n v="3"/>
    <n v="27500"/>
    <n v="16500"/>
    <n v="0.1"/>
    <n v="4"/>
    <s v="CUS-2062"/>
    <n v="500000"/>
    <s v="Lagos"/>
    <x v="86"/>
    <x v="1"/>
    <n v="74250"/>
    <n v="24750"/>
    <s v="2025-12"/>
  </r>
  <r>
    <s v="ORD-7289"/>
    <x v="143"/>
    <x v="3"/>
    <s v="Amaka Obi"/>
    <x v="0"/>
    <x v="11"/>
    <x v="5"/>
    <n v="9"/>
    <n v="22000"/>
    <n v="13800"/>
    <n v="0.05"/>
    <n v="2"/>
    <s v="CUS-2042"/>
    <n v="50000"/>
    <s v="Lagos"/>
    <x v="83"/>
    <x v="2"/>
    <n v="188100"/>
    <n v="63900"/>
    <s v="2025-12"/>
  </r>
  <r>
    <s v="ORD-7208"/>
    <x v="211"/>
    <x v="3"/>
    <s v="Tunde Bello"/>
    <x v="2"/>
    <x v="6"/>
    <x v="4"/>
    <n v="2"/>
    <n v="6800"/>
    <n v="3900"/>
    <n v="0"/>
    <n v="4"/>
    <s v="CUS-2042"/>
    <n v="50000"/>
    <s v="Lagos"/>
    <x v="83"/>
    <x v="2"/>
    <n v="13600"/>
    <n v="5800"/>
    <s v="2025-12"/>
  </r>
  <r>
    <s v="ORD-7362"/>
    <x v="144"/>
    <x v="3"/>
    <s v="Tunde Bello"/>
    <x v="0"/>
    <x v="9"/>
    <x v="5"/>
    <n v="4"/>
    <n v="18500"/>
    <n v="11800"/>
    <n v="0"/>
    <n v="1"/>
    <s v="CUS-2059"/>
    <n v="250000"/>
    <s v="Lagos"/>
    <x v="90"/>
    <x v="2"/>
    <n v="74000"/>
    <n v="26800"/>
    <s v="2025-12"/>
  </r>
  <r>
    <s v="ORD-7145"/>
    <x v="145"/>
    <x v="3"/>
    <s v="Amaka Obi"/>
    <x v="2"/>
    <x v="5"/>
    <x v="3"/>
    <n v="2"/>
    <n v="24000"/>
    <n v="14500"/>
    <n v="0"/>
    <n v="3"/>
    <s v="CUS-2036"/>
    <n v="150000"/>
    <s v="Lagos"/>
    <x v="69"/>
    <x v="1"/>
    <n v="48000"/>
    <n v="19000"/>
    <s v="2025-12"/>
  </r>
  <r>
    <s v="ORD-7376"/>
    <x v="145"/>
    <x v="3"/>
    <s v="Amaka Obi"/>
    <x v="0"/>
    <x v="5"/>
    <x v="3"/>
    <n v="3"/>
    <n v="24000"/>
    <n v="14500"/>
    <n v="0"/>
    <n v="2"/>
    <s v="CUS-2059"/>
    <n v="250000"/>
    <s v="Lagos"/>
    <x v="90"/>
    <x v="2"/>
    <n v="72000"/>
    <n v="28500"/>
    <s v="2025-12"/>
  </r>
  <r>
    <s v="ORD-7087"/>
    <x v="212"/>
    <x v="3"/>
    <s v="Tunde Bello"/>
    <x v="2"/>
    <x v="2"/>
    <x v="2"/>
    <n v="1"/>
    <n v="12000"/>
    <n v="7200"/>
    <n v="0.1"/>
    <n v="3"/>
    <s v="CUS-2027"/>
    <n v="150000"/>
    <s v="Lagos"/>
    <x v="57"/>
    <x v="1"/>
    <n v="10800"/>
    <n v="3600"/>
    <s v="2025-12"/>
  </r>
  <r>
    <s v="ORD-7126"/>
    <x v="212"/>
    <x v="3"/>
    <s v="Amaka Obi"/>
    <x v="1"/>
    <x v="1"/>
    <x v="1"/>
    <n v="5"/>
    <n v="41000"/>
    <n v="25000"/>
    <n v="0"/>
    <n v="2"/>
    <s v="CUS-2001"/>
    <n v="500000"/>
    <s v="Lagos"/>
    <x v="81"/>
    <x v="1"/>
    <n v="205000"/>
    <n v="80000"/>
    <s v="2025-12"/>
  </r>
  <r>
    <s v="ORD-7049"/>
    <x v="213"/>
    <x v="3"/>
    <s v="Tunde Bello"/>
    <x v="0"/>
    <x v="1"/>
    <x v="1"/>
    <n v="1"/>
    <n v="41000"/>
    <n v="25000"/>
    <n v="0"/>
    <n v="2"/>
    <s v="CUS-2014"/>
    <n v="50000"/>
    <s v="Lagos"/>
    <x v="89"/>
    <x v="2"/>
    <n v="41000"/>
    <n v="16000"/>
    <s v="2025-12"/>
  </r>
  <r>
    <s v="ORD-7341"/>
    <x v="213"/>
    <x v="3"/>
    <s v="Amaka Obi"/>
    <x v="1"/>
    <x v="9"/>
    <x v="5"/>
    <n v="5"/>
    <n v="18500"/>
    <n v="11800"/>
    <n v="0"/>
    <n v="2"/>
    <s v="CUS-2086"/>
    <n v="150000"/>
    <s v="Lagos"/>
    <x v="75"/>
    <x v="2"/>
    <n v="92500"/>
    <n v="33500"/>
    <s v="2025-12"/>
  </r>
  <r>
    <s v="ORD-7333"/>
    <x v="214"/>
    <x v="3"/>
    <s v="Amaka Obi"/>
    <x v="0"/>
    <x v="2"/>
    <x v="2"/>
    <n v="2"/>
    <n v="12000"/>
    <n v="7200"/>
    <n v="0"/>
    <n v="1"/>
    <s v="CUS-2002"/>
    <n v="150000"/>
    <s v="Lagos"/>
    <x v="59"/>
    <x v="1"/>
    <n v="24000"/>
    <n v="9600"/>
    <s v="2025-12"/>
  </r>
  <r>
    <s v="ORD-7357"/>
    <x v="214"/>
    <x v="3"/>
    <s v="Amaka Obi"/>
    <x v="2"/>
    <x v="4"/>
    <x v="1"/>
    <n v="3"/>
    <n v="27500"/>
    <n v="16500"/>
    <n v="0"/>
    <n v="3"/>
    <s v="CUS-2059"/>
    <n v="250000"/>
    <s v="Lagos"/>
    <x v="90"/>
    <x v="2"/>
    <n v="82500"/>
    <n v="33000"/>
    <s v="2025-12"/>
  </r>
  <r>
    <s v="ORD-7271"/>
    <x v="215"/>
    <x v="3"/>
    <s v="Tunde Bello"/>
    <x v="2"/>
    <x v="4"/>
    <x v="1"/>
    <n v="7"/>
    <n v="27500"/>
    <n v="16500"/>
    <n v="0"/>
    <n v="5"/>
    <s v="CUS-2059"/>
    <n v="250000"/>
    <s v="Lagos"/>
    <x v="90"/>
    <x v="2"/>
    <n v="192500"/>
    <n v="77000"/>
    <s v="2025-12"/>
  </r>
  <r>
    <s v="ORD-7281"/>
    <x v="216"/>
    <x v="3"/>
    <s v="Tunde Bello"/>
    <x v="0"/>
    <x v="6"/>
    <x v="4"/>
    <n v="3"/>
    <n v="6800"/>
    <n v="3900"/>
    <n v="0"/>
    <n v="2"/>
    <s v="CUS-2036"/>
    <n v="150000"/>
    <s v="Lagos"/>
    <x v="69"/>
    <x v="1"/>
    <n v="20400"/>
    <n v="8700"/>
    <s v="2025-12"/>
  </r>
  <r>
    <s v="ORD-7233"/>
    <x v="217"/>
    <x v="3"/>
    <s v="Tunde Bello"/>
    <x v="1"/>
    <x v="7"/>
    <x v="0"/>
    <n v="2"/>
    <n v="46000"/>
    <n v="39000"/>
    <n v="0"/>
    <n v="5"/>
    <s v="CUS-2062"/>
    <n v="500000"/>
    <s v="Lagos"/>
    <x v="86"/>
    <x v="1"/>
    <n v="92000"/>
    <n v="14000"/>
    <s v="2025-12"/>
  </r>
  <r>
    <s v="ORD-7034"/>
    <x v="218"/>
    <x v="3"/>
    <s v="Tunde Bello"/>
    <x v="1"/>
    <x v="7"/>
    <x v="0"/>
    <n v="3"/>
    <n v="46000"/>
    <n v="39000"/>
    <n v="0"/>
    <n v="5"/>
    <s v="CUS-2088"/>
    <n v="150000"/>
    <s v="Lagos"/>
    <x v="79"/>
    <x v="2"/>
    <n v="138000"/>
    <n v="21000"/>
    <s v="2025-12"/>
  </r>
  <r>
    <s v="ORD-7206"/>
    <x v="110"/>
    <x v="3"/>
    <s v="Amaka Obi"/>
    <x v="0"/>
    <x v="11"/>
    <x v="5"/>
    <n v="1"/>
    <n v="22000"/>
    <n v="13800"/>
    <n v="0"/>
    <n v="1"/>
    <s v="CUS-2117"/>
    <n v="150000"/>
    <s v="Lagos"/>
    <x v="80"/>
    <x v="0"/>
    <n v="22000"/>
    <n v="8200"/>
    <s v="2025-12"/>
  </r>
  <r>
    <s v="ORD-7061"/>
    <x v="219"/>
    <x v="3"/>
    <s v="Amaka Obi"/>
    <x v="3"/>
    <x v="4"/>
    <x v="1"/>
    <n v="2"/>
    <n v="27500"/>
    <n v="16500"/>
    <n v="0"/>
    <n v="2"/>
    <s v="CUS-2056"/>
    <n v="500000"/>
    <s v="Lagos"/>
    <x v="85"/>
    <x v="2"/>
    <n v="55000"/>
    <n v="22000"/>
    <s v="2025-12"/>
  </r>
  <r>
    <s v="ORD-7012"/>
    <x v="111"/>
    <x v="3"/>
    <s v="Amaka Obi"/>
    <x v="2"/>
    <x v="1"/>
    <x v="1"/>
    <n v="4"/>
    <n v="41000"/>
    <n v="25000"/>
    <n v="0"/>
    <n v="2"/>
    <s v="CUS-2060"/>
    <n v="100000"/>
    <s v="Lagos"/>
    <x v="21"/>
    <x v="2"/>
    <n v="164000"/>
    <n v="64000"/>
    <s v="2025-12"/>
  </r>
  <r>
    <s v="ORD-7395"/>
    <x v="0"/>
    <x v="4"/>
    <s v="Chidi Okafor"/>
    <x v="3"/>
    <x v="4"/>
    <x v="1"/>
    <n v="8"/>
    <n v="27500"/>
    <n v="16500"/>
    <n v="0"/>
    <n v="2"/>
    <s v="CUS-2038"/>
    <n v="50000"/>
    <s v="Port Harcourt"/>
    <x v="92"/>
    <x v="1"/>
    <n v="220000"/>
    <n v="88000"/>
    <s v="2025-01"/>
  </r>
  <r>
    <s v="ORD-7174"/>
    <x v="220"/>
    <x v="4"/>
    <s v="Chidi Okafor"/>
    <x v="1"/>
    <x v="7"/>
    <x v="0"/>
    <n v="8"/>
    <n v="46000"/>
    <n v="39000"/>
    <n v="0"/>
    <n v="4"/>
    <s v="CUS-2068"/>
    <n v="150000"/>
    <s v="Port Harcourt"/>
    <x v="93"/>
    <x v="1"/>
    <n v="368000"/>
    <n v="56000"/>
    <s v="2025-01"/>
  </r>
  <r>
    <s v="ORD-7109"/>
    <x v="221"/>
    <x v="4"/>
    <s v="Chidi Okafor"/>
    <x v="1"/>
    <x v="7"/>
    <x v="0"/>
    <n v="2"/>
    <n v="46000"/>
    <n v="39000"/>
    <n v="0"/>
    <n v="2"/>
    <s v="CUS-2038"/>
    <n v="50000"/>
    <s v="Port Harcourt"/>
    <x v="92"/>
    <x v="1"/>
    <n v="92000"/>
    <n v="14000"/>
    <s v="2025-01"/>
  </r>
  <r>
    <s v="ORD-7382"/>
    <x v="153"/>
    <x v="4"/>
    <s v="Chidi Okafor"/>
    <x v="1"/>
    <x v="4"/>
    <x v="1"/>
    <n v="8"/>
    <n v="27500"/>
    <n v="16500"/>
    <n v="0.1"/>
    <n v="7"/>
    <s v="CUS-2079"/>
    <n v="50000"/>
    <s v="Port Harcourt"/>
    <x v="94"/>
    <x v="2"/>
    <n v="198000"/>
    <n v="66000"/>
    <s v="2025-01"/>
  </r>
  <r>
    <s v="ORD-7287"/>
    <x v="74"/>
    <x v="4"/>
    <s v="Chidi Okafor"/>
    <x v="2"/>
    <x v="5"/>
    <x v="3"/>
    <n v="2"/>
    <n v="24000"/>
    <n v="14500"/>
    <n v="0"/>
    <n v="1"/>
    <s v="CUS-2065"/>
    <n v="250000"/>
    <s v="Port Harcourt"/>
    <x v="95"/>
    <x v="0"/>
    <n v="48000"/>
    <n v="19000"/>
    <s v="2025-01"/>
  </r>
  <r>
    <s v="ORD-7009"/>
    <x v="222"/>
    <x v="4"/>
    <s v="Chidi Okafor"/>
    <x v="0"/>
    <x v="0"/>
    <x v="0"/>
    <n v="2"/>
    <n v="9800"/>
    <n v="7600"/>
    <n v="0"/>
    <n v="3"/>
    <s v="CUS-2020"/>
    <n v="100000"/>
    <s v="Port Harcourt"/>
    <x v="96"/>
    <x v="1"/>
    <n v="19600"/>
    <n v="4400"/>
    <s v="2025-01"/>
  </r>
  <r>
    <s v="ORD-7018"/>
    <x v="155"/>
    <x v="4"/>
    <s v="Chidi Okafor"/>
    <x v="2"/>
    <x v="3"/>
    <x v="3"/>
    <n v="3"/>
    <n v="32000"/>
    <n v="21000"/>
    <n v="0.05"/>
    <n v="5"/>
    <s v="CUS-2104"/>
    <n v="250000"/>
    <s v="Port Harcourt"/>
    <x v="97"/>
    <x v="2"/>
    <n v="91200"/>
    <n v="28200"/>
    <s v="2025-01"/>
  </r>
  <r>
    <s v="ORD-7180"/>
    <x v="155"/>
    <x v="4"/>
    <s v="Chidi Okafor"/>
    <x v="3"/>
    <x v="10"/>
    <x v="2"/>
    <n v="3"/>
    <n v="28000"/>
    <n v="18500"/>
    <n v="0.05"/>
    <n v="2"/>
    <s v="CUS-2068"/>
    <n v="150000"/>
    <s v="Port Harcourt"/>
    <x v="93"/>
    <x v="1"/>
    <n v="79800"/>
    <n v="24300"/>
    <s v="2025-01"/>
  </r>
  <r>
    <s v="ORD-7232"/>
    <x v="223"/>
    <x v="4"/>
    <s v="Chidi Okafor"/>
    <x v="0"/>
    <x v="0"/>
    <x v="0"/>
    <n v="3"/>
    <n v="9800"/>
    <n v="7600"/>
    <n v="0.1"/>
    <n v="2"/>
    <s v="CUS-2035"/>
    <n v="250000"/>
    <s v="Port Harcourt"/>
    <x v="98"/>
    <x v="1"/>
    <n v="26460"/>
    <n v="3660"/>
    <s v="2025-02"/>
  </r>
  <r>
    <s v="ORD-7282"/>
    <x v="224"/>
    <x v="4"/>
    <s v="Chidi Okafor"/>
    <x v="0"/>
    <x v="1"/>
    <x v="1"/>
    <n v="3"/>
    <n v="41000"/>
    <n v="25000"/>
    <n v="0"/>
    <n v="4"/>
    <s v="CUS-2067"/>
    <n v="250000"/>
    <s v="Port Harcourt"/>
    <x v="99"/>
    <x v="0"/>
    <n v="123000"/>
    <n v="48000"/>
    <s v="2025-02"/>
  </r>
  <r>
    <s v="ORD-7184"/>
    <x v="225"/>
    <x v="4"/>
    <s v="Chidi Okafor"/>
    <x v="3"/>
    <x v="4"/>
    <x v="1"/>
    <n v="1"/>
    <n v="27500"/>
    <n v="16500"/>
    <n v="0"/>
    <n v="5"/>
    <s v="CUS-2021"/>
    <n v="50000"/>
    <s v="Port Harcourt"/>
    <x v="100"/>
    <x v="1"/>
    <n v="27500"/>
    <n v="11000"/>
    <s v="2025-02"/>
  </r>
  <r>
    <s v="ORD-7227"/>
    <x v="76"/>
    <x v="4"/>
    <s v="Chidi Okafor"/>
    <x v="2"/>
    <x v="0"/>
    <x v="0"/>
    <n v="1"/>
    <n v="9800"/>
    <n v="7600"/>
    <n v="0"/>
    <n v="4"/>
    <s v="CUS-2006"/>
    <n v="100000"/>
    <s v="Port Harcourt"/>
    <x v="101"/>
    <x v="0"/>
    <n v="9800"/>
    <n v="2200"/>
    <s v="2025-02"/>
  </r>
  <r>
    <s v="ORD-7383"/>
    <x v="226"/>
    <x v="4"/>
    <s v="Chidi Okafor"/>
    <x v="2"/>
    <x v="9"/>
    <x v="5"/>
    <n v="3"/>
    <n v="18500"/>
    <n v="11800"/>
    <n v="0"/>
    <n v="5"/>
    <s v="CUS-2065"/>
    <n v="250000"/>
    <s v="Port Harcourt"/>
    <x v="95"/>
    <x v="0"/>
    <n v="55500"/>
    <n v="20100"/>
    <s v="2025-02"/>
  </r>
  <r>
    <s v="ORD-7090"/>
    <x v="14"/>
    <x v="4"/>
    <s v="Chidi Okafor"/>
    <x v="0"/>
    <x v="6"/>
    <x v="4"/>
    <n v="4"/>
    <n v="6800"/>
    <n v="3900"/>
    <n v="0"/>
    <n v="2"/>
    <s v="CUS-2006"/>
    <n v="100000"/>
    <s v="Port Harcourt"/>
    <x v="101"/>
    <x v="0"/>
    <n v="27200"/>
    <n v="11600"/>
    <s v="2025-03"/>
  </r>
  <r>
    <s v="ORD-7356"/>
    <x v="78"/>
    <x v="4"/>
    <s v="Chidi Okafor"/>
    <x v="1"/>
    <x v="4"/>
    <x v="1"/>
    <n v="2"/>
    <n v="27500"/>
    <n v="16500"/>
    <n v="0"/>
    <n v="3"/>
    <s v="CUS-2064"/>
    <n v="50000"/>
    <s v="Port Harcourt"/>
    <x v="61"/>
    <x v="1"/>
    <n v="55000"/>
    <n v="22000"/>
    <s v="2025-03"/>
  </r>
  <r>
    <s v="ORD-7418"/>
    <x v="227"/>
    <x v="4"/>
    <s v="Chidi Okafor"/>
    <x v="0"/>
    <x v="11"/>
    <x v="5"/>
    <n v="2"/>
    <n v="22000"/>
    <n v="13800"/>
    <n v="0"/>
    <n v="1"/>
    <s v="CUS-2006"/>
    <n v="100000"/>
    <s v="Port Harcourt"/>
    <x v="101"/>
    <x v="0"/>
    <n v="44000"/>
    <n v="16400"/>
    <s v="2025-03"/>
  </r>
  <r>
    <s v="ORD-7384"/>
    <x v="228"/>
    <x v="4"/>
    <s v="Chidi Okafor"/>
    <x v="3"/>
    <x v="2"/>
    <x v="2"/>
    <n v="8"/>
    <n v="12000"/>
    <n v="7200"/>
    <n v="0"/>
    <n v="10"/>
    <s v="CUS-2068"/>
    <n v="150000"/>
    <s v="Port Harcourt"/>
    <x v="93"/>
    <x v="1"/>
    <n v="96000"/>
    <n v="38400"/>
    <s v="2025-03"/>
  </r>
  <r>
    <s v="ORD-7407"/>
    <x v="119"/>
    <x v="4"/>
    <s v="Chidi Okafor"/>
    <x v="0"/>
    <x v="4"/>
    <x v="1"/>
    <n v="1"/>
    <n v="27500"/>
    <n v="16500"/>
    <n v="0"/>
    <n v="2"/>
    <s v="CUS-2039"/>
    <n v="150000"/>
    <s v="Port Harcourt"/>
    <x v="102"/>
    <x v="2"/>
    <n v="27500"/>
    <n v="11000"/>
    <s v="2025-03"/>
  </r>
  <r>
    <s v="ORD-7107"/>
    <x v="229"/>
    <x v="4"/>
    <s v="Chidi Okafor"/>
    <x v="0"/>
    <x v="6"/>
    <x v="4"/>
    <n v="2"/>
    <n v="6800"/>
    <n v="3900"/>
    <n v="0"/>
    <n v="4"/>
    <s v="CUS-2035"/>
    <n v="250000"/>
    <s v="Port Harcourt"/>
    <x v="98"/>
    <x v="1"/>
    <n v="13600"/>
    <n v="5800"/>
    <s v="2025-04"/>
  </r>
  <r>
    <s v="ORD-7257"/>
    <x v="230"/>
    <x v="4"/>
    <s v="Chidi Okafor"/>
    <x v="0"/>
    <x v="11"/>
    <x v="5"/>
    <n v="4"/>
    <n v="22000"/>
    <n v="13800"/>
    <n v="0"/>
    <n v="2"/>
    <s v="CUS-2068"/>
    <n v="150000"/>
    <s v="Port Harcourt"/>
    <x v="93"/>
    <x v="1"/>
    <n v="88000"/>
    <n v="32800"/>
    <s v="2025-04"/>
  </r>
  <r>
    <s v="ORD-7014"/>
    <x v="165"/>
    <x v="4"/>
    <s v="Chidi Okafor"/>
    <x v="1"/>
    <x v="9"/>
    <x v="5"/>
    <n v="3"/>
    <n v="18500"/>
    <n v="11800"/>
    <n v="0"/>
    <n v="1"/>
    <s v="CUS-2018"/>
    <n v="500000"/>
    <s v="Port Harcourt"/>
    <x v="103"/>
    <x v="1"/>
    <n v="55500"/>
    <n v="20100"/>
    <s v="2025-04"/>
  </r>
  <r>
    <s v="ORD-7199"/>
    <x v="82"/>
    <x v="4"/>
    <s v="Chidi Okafor"/>
    <x v="1"/>
    <x v="8"/>
    <x v="5"/>
    <n v="4"/>
    <n v="15500"/>
    <n v="9900"/>
    <n v="0"/>
    <n v="1"/>
    <s v="CUS-2035"/>
    <n v="250000"/>
    <s v="Port Harcourt"/>
    <x v="98"/>
    <x v="1"/>
    <n v="62000"/>
    <n v="22400"/>
    <s v="2025-04"/>
  </r>
  <r>
    <s v="ORD-7020"/>
    <x v="231"/>
    <x v="4"/>
    <s v="Chidi Okafor"/>
    <x v="1"/>
    <x v="11"/>
    <x v="5"/>
    <n v="3"/>
    <n v="22000"/>
    <n v="13800"/>
    <n v="0.1"/>
    <n v="5"/>
    <s v="CUS-2038"/>
    <n v="50000"/>
    <s v="Port Harcourt"/>
    <x v="92"/>
    <x v="1"/>
    <n v="59400"/>
    <n v="18000"/>
    <s v="2025-05"/>
  </r>
  <r>
    <s v="ORD-7144"/>
    <x v="174"/>
    <x v="4"/>
    <s v="Chidi Okafor"/>
    <x v="0"/>
    <x v="3"/>
    <x v="3"/>
    <n v="1"/>
    <n v="32000"/>
    <n v="21000"/>
    <n v="0"/>
    <n v="1"/>
    <s v="CUS-2039"/>
    <n v="150000"/>
    <s v="Port Harcourt"/>
    <x v="102"/>
    <x v="2"/>
    <n v="32000"/>
    <n v="11000"/>
    <s v="2025-05"/>
  </r>
  <r>
    <s v="ORD-7321"/>
    <x v="232"/>
    <x v="4"/>
    <s v="Chidi Okafor"/>
    <x v="0"/>
    <x v="0"/>
    <x v="0"/>
    <n v="1"/>
    <n v="9800"/>
    <n v="7600"/>
    <n v="0"/>
    <n v="4"/>
    <s v="CUS-2035"/>
    <n v="250000"/>
    <s v="Port Harcourt"/>
    <x v="98"/>
    <x v="1"/>
    <n v="9800"/>
    <n v="2200"/>
    <s v="2025-05"/>
  </r>
  <r>
    <s v="ORD-7354"/>
    <x v="233"/>
    <x v="4"/>
    <s v="Chidi Okafor"/>
    <x v="2"/>
    <x v="10"/>
    <x v="2"/>
    <n v="5"/>
    <n v="28000"/>
    <n v="18500"/>
    <n v="0"/>
    <n v="3"/>
    <s v="CUS-2019"/>
    <n v="250000"/>
    <s v="Port Harcourt"/>
    <x v="104"/>
    <x v="1"/>
    <n v="140000"/>
    <n v="47500"/>
    <s v="2025-05"/>
  </r>
  <r>
    <s v="ORD-7150"/>
    <x v="123"/>
    <x v="4"/>
    <s v="Chidi Okafor"/>
    <x v="3"/>
    <x v="5"/>
    <x v="3"/>
    <n v="8"/>
    <n v="24000"/>
    <n v="14500"/>
    <n v="0"/>
    <n v="2"/>
    <s v="CUS-2067"/>
    <n v="250000"/>
    <s v="Port Harcourt"/>
    <x v="99"/>
    <x v="0"/>
    <n v="192000"/>
    <n v="76000"/>
    <s v="2025-06"/>
  </r>
  <r>
    <s v="ORD-7272"/>
    <x v="33"/>
    <x v="4"/>
    <s v="Chidi Okafor"/>
    <x v="3"/>
    <x v="11"/>
    <x v="5"/>
    <n v="1"/>
    <n v="22000"/>
    <n v="13800"/>
    <n v="0"/>
    <n v="1"/>
    <s v="CUS-2035"/>
    <n v="250000"/>
    <s v="Port Harcourt"/>
    <x v="98"/>
    <x v="1"/>
    <n v="22000"/>
    <n v="8200"/>
    <s v="2025-06"/>
  </r>
  <r>
    <s v="ORD-7084"/>
    <x v="234"/>
    <x v="4"/>
    <s v="Chidi Okafor"/>
    <x v="0"/>
    <x v="4"/>
    <x v="1"/>
    <n v="5"/>
    <n v="27500"/>
    <n v="16500"/>
    <n v="0"/>
    <n v="4"/>
    <s v="CUS-2039"/>
    <n v="150000"/>
    <s v="Port Harcourt"/>
    <x v="102"/>
    <x v="2"/>
    <n v="137500"/>
    <n v="55000"/>
    <s v="2025-06"/>
  </r>
  <r>
    <s v="ORD-7252"/>
    <x v="235"/>
    <x v="4"/>
    <s v="Chidi Okafor"/>
    <x v="2"/>
    <x v="2"/>
    <x v="2"/>
    <n v="4"/>
    <n v="12000"/>
    <n v="7200"/>
    <n v="0"/>
    <n v="3"/>
    <s v="CUS-2043"/>
    <n v="50000"/>
    <s v="Port Harcourt"/>
    <x v="105"/>
    <x v="1"/>
    <n v="48000"/>
    <n v="19200"/>
    <s v="2025-06"/>
  </r>
  <r>
    <s v="ORD-7142"/>
    <x v="236"/>
    <x v="4"/>
    <s v="Chidi Okafor"/>
    <x v="1"/>
    <x v="0"/>
    <x v="0"/>
    <n v="1"/>
    <n v="9800"/>
    <n v="7600"/>
    <n v="0"/>
    <n v="1"/>
    <s v="CUS-2006"/>
    <n v="100000"/>
    <s v="Port Harcourt"/>
    <x v="101"/>
    <x v="0"/>
    <n v="9800"/>
    <n v="2200"/>
    <s v="2025-06"/>
  </r>
  <r>
    <s v="ORD-7303"/>
    <x v="95"/>
    <x v="4"/>
    <s v="Chidi Okafor"/>
    <x v="2"/>
    <x v="7"/>
    <x v="0"/>
    <n v="1"/>
    <n v="46000"/>
    <n v="39000"/>
    <n v="0"/>
    <n v="2"/>
    <s v="CUS-2043"/>
    <n v="50000"/>
    <s v="Port Harcourt"/>
    <x v="105"/>
    <x v="1"/>
    <n v="46000"/>
    <n v="7000"/>
    <s v="2025-07"/>
  </r>
  <r>
    <s v="ORD-7141"/>
    <x v="237"/>
    <x v="4"/>
    <s v="Chidi Okafor"/>
    <x v="1"/>
    <x v="3"/>
    <x v="3"/>
    <n v="2"/>
    <n v="32000"/>
    <n v="21000"/>
    <n v="0"/>
    <n v="1"/>
    <s v="CUS-2035"/>
    <n v="250000"/>
    <s v="Port Harcourt"/>
    <x v="98"/>
    <x v="1"/>
    <n v="64000"/>
    <n v="22000"/>
    <s v="2025-07"/>
  </r>
  <r>
    <s v="ORD-7001"/>
    <x v="125"/>
    <x v="4"/>
    <s v="Chidi Okafor"/>
    <x v="3"/>
    <x v="0"/>
    <x v="0"/>
    <n v="5"/>
    <n v="9800"/>
    <n v="7600"/>
    <n v="0"/>
    <n v="2"/>
    <s v="CUS-2064"/>
    <n v="50000"/>
    <s v="Port Harcourt"/>
    <x v="61"/>
    <x v="1"/>
    <n v="49000"/>
    <n v="11000"/>
    <s v="2025-07"/>
  </r>
  <r>
    <s v="ORD-7011"/>
    <x v="238"/>
    <x v="4"/>
    <s v="Chidi Okafor"/>
    <x v="2"/>
    <x v="7"/>
    <x v="0"/>
    <n v="1"/>
    <n v="46000"/>
    <n v="39000"/>
    <n v="0"/>
    <n v="3"/>
    <s v="CUS-2073"/>
    <n v="250000"/>
    <s v="Port Harcourt"/>
    <x v="106"/>
    <x v="1"/>
    <n v="46000"/>
    <n v="7000"/>
    <s v="2025-07"/>
  </r>
  <r>
    <s v="ORD-7116"/>
    <x v="190"/>
    <x v="4"/>
    <s v="Chidi Okafor"/>
    <x v="2"/>
    <x v="5"/>
    <x v="3"/>
    <n v="1"/>
    <n v="24000"/>
    <n v="14500"/>
    <n v="0"/>
    <n v="3"/>
    <s v="CUS-2021"/>
    <n v="50000"/>
    <s v="Port Harcourt"/>
    <x v="100"/>
    <x v="1"/>
    <n v="24000"/>
    <n v="9500"/>
    <s v="2025-07"/>
  </r>
  <r>
    <s v="ORD-7264"/>
    <x v="46"/>
    <x v="4"/>
    <s v="Chidi Okafor"/>
    <x v="1"/>
    <x v="2"/>
    <x v="2"/>
    <n v="8"/>
    <n v="12000"/>
    <n v="7200"/>
    <n v="0.1"/>
    <n v="4"/>
    <s v="CUS-2021"/>
    <n v="50000"/>
    <s v="Port Harcourt"/>
    <x v="100"/>
    <x v="1"/>
    <n v="86400"/>
    <n v="28800"/>
    <s v="2025-07"/>
  </r>
  <r>
    <s v="ORD-7041"/>
    <x v="239"/>
    <x v="4"/>
    <s v="Chidi Okafor"/>
    <x v="1"/>
    <x v="7"/>
    <x v="0"/>
    <n v="1"/>
    <n v="46000"/>
    <n v="39000"/>
    <n v="0"/>
    <n v="1"/>
    <s v="CUS-2038"/>
    <n v="50000"/>
    <s v="Port Harcourt"/>
    <x v="92"/>
    <x v="1"/>
    <n v="46000"/>
    <n v="7000"/>
    <s v="2025-08"/>
  </r>
  <r>
    <s v="ORD-7228"/>
    <x v="130"/>
    <x v="4"/>
    <s v="Chidi Okafor"/>
    <x v="3"/>
    <x v="0"/>
    <x v="0"/>
    <n v="2"/>
    <n v="9800"/>
    <n v="7600"/>
    <n v="0"/>
    <n v="7"/>
    <s v="CUS-2067"/>
    <n v="250000"/>
    <s v="Port Harcourt"/>
    <x v="99"/>
    <x v="0"/>
    <n v="19600"/>
    <n v="4400"/>
    <s v="2025-08"/>
  </r>
  <r>
    <s v="ORD-7104"/>
    <x v="131"/>
    <x v="4"/>
    <s v="Chidi Okafor"/>
    <x v="2"/>
    <x v="9"/>
    <x v="5"/>
    <n v="1"/>
    <n v="18500"/>
    <n v="11800"/>
    <n v="0"/>
    <n v="3"/>
    <s v="CUS-2038"/>
    <n v="50000"/>
    <s v="Port Harcourt"/>
    <x v="92"/>
    <x v="1"/>
    <n v="18500"/>
    <n v="6700"/>
    <s v="2025-08"/>
  </r>
  <r>
    <s v="ORD-7059"/>
    <x v="240"/>
    <x v="4"/>
    <s v="Chidi Okafor"/>
    <x v="2"/>
    <x v="9"/>
    <x v="5"/>
    <n v="1"/>
    <n v="18500"/>
    <n v="11800"/>
    <n v="0.1"/>
    <n v="4"/>
    <s v="CUS-2034"/>
    <n v="100000"/>
    <s v="Port Harcourt"/>
    <x v="107"/>
    <x v="0"/>
    <n v="16650"/>
    <n v="4850"/>
    <s v="2025-08"/>
  </r>
  <r>
    <s v="ORD-7400"/>
    <x v="240"/>
    <x v="4"/>
    <s v="Chidi Okafor"/>
    <x v="0"/>
    <x v="10"/>
    <x v="2"/>
    <n v="10"/>
    <n v="28000"/>
    <n v="18500"/>
    <n v="0"/>
    <n v="1"/>
    <s v="CUS-2048"/>
    <n v="150000"/>
    <s v="Port Harcourt"/>
    <x v="108"/>
    <x v="0"/>
    <n v="280000"/>
    <n v="95000"/>
    <s v="2025-08"/>
  </r>
  <r>
    <s v="ORD-7327"/>
    <x v="241"/>
    <x v="4"/>
    <s v="Chidi Okafor"/>
    <x v="1"/>
    <x v="1"/>
    <x v="1"/>
    <n v="3"/>
    <n v="41000"/>
    <n v="25000"/>
    <n v="0"/>
    <n v="4"/>
    <s v="CUS-2010"/>
    <n v="250000"/>
    <s v="Port Harcourt"/>
    <x v="109"/>
    <x v="2"/>
    <n v="123000"/>
    <n v="48000"/>
    <s v="2025-08"/>
  </r>
  <r>
    <s v="ORD-7224"/>
    <x v="56"/>
    <x v="4"/>
    <s v="Chidi Okafor"/>
    <x v="0"/>
    <x v="1"/>
    <x v="1"/>
    <n v="1"/>
    <n v="41000"/>
    <n v="25000"/>
    <n v="0.1"/>
    <n v="2"/>
    <s v="CUS-2006"/>
    <n v="100000"/>
    <s v="Port Harcourt"/>
    <x v="101"/>
    <x v="0"/>
    <n v="36900"/>
    <n v="11900"/>
    <s v="2025-08"/>
  </r>
  <r>
    <s v="ORD-7277"/>
    <x v="192"/>
    <x v="4"/>
    <s v="Chidi Okafor"/>
    <x v="1"/>
    <x v="11"/>
    <x v="5"/>
    <n v="2"/>
    <n v="22000"/>
    <n v="13800"/>
    <n v="0.05"/>
    <n v="2"/>
    <s v="CUS-2010"/>
    <n v="250000"/>
    <s v="Port Harcourt"/>
    <x v="109"/>
    <x v="2"/>
    <n v="41800"/>
    <n v="14200"/>
    <s v="2025-08"/>
  </r>
  <r>
    <s v="ORD-7313"/>
    <x v="193"/>
    <x v="4"/>
    <s v="Chidi Okafor"/>
    <x v="2"/>
    <x v="4"/>
    <x v="1"/>
    <n v="2"/>
    <n v="27500"/>
    <n v="16500"/>
    <n v="0.1"/>
    <n v="3"/>
    <s v="CUS-2020"/>
    <n v="100000"/>
    <s v="Port Harcourt"/>
    <x v="96"/>
    <x v="1"/>
    <n v="49500"/>
    <n v="16500"/>
    <s v="2025-08"/>
  </r>
  <r>
    <s v="ORD-7360"/>
    <x v="133"/>
    <x v="4"/>
    <s v="Chidi Okafor"/>
    <x v="1"/>
    <x v="7"/>
    <x v="0"/>
    <n v="2"/>
    <n v="46000"/>
    <n v="39000"/>
    <n v="0.05"/>
    <n v="7"/>
    <s v="CUS-2010"/>
    <n v="250000"/>
    <s v="Port Harcourt"/>
    <x v="109"/>
    <x v="2"/>
    <n v="87400"/>
    <n v="9400"/>
    <s v="2025-09"/>
  </r>
  <r>
    <s v="ORD-7205"/>
    <x v="242"/>
    <x v="4"/>
    <s v="Chidi Okafor"/>
    <x v="1"/>
    <x v="9"/>
    <x v="5"/>
    <n v="1"/>
    <n v="18500"/>
    <n v="11800"/>
    <n v="0"/>
    <n v="2"/>
    <s v="CUS-2018"/>
    <n v="500000"/>
    <s v="Port Harcourt"/>
    <x v="103"/>
    <x v="1"/>
    <n v="18500"/>
    <n v="6700"/>
    <s v="2025-10"/>
  </r>
  <r>
    <s v="ORD-7207"/>
    <x v="242"/>
    <x v="4"/>
    <s v="Chidi Okafor"/>
    <x v="2"/>
    <x v="10"/>
    <x v="2"/>
    <n v="3"/>
    <n v="28000"/>
    <n v="18500"/>
    <n v="0"/>
    <n v="1"/>
    <s v="CUS-2073"/>
    <n v="250000"/>
    <s v="Port Harcourt"/>
    <x v="106"/>
    <x v="1"/>
    <n v="84000"/>
    <n v="28500"/>
    <s v="2025-10"/>
  </r>
  <r>
    <s v="ORD-7255"/>
    <x v="243"/>
    <x v="4"/>
    <s v="Chidi Okafor"/>
    <x v="1"/>
    <x v="7"/>
    <x v="0"/>
    <n v="3"/>
    <n v="46000"/>
    <n v="39000"/>
    <n v="0"/>
    <n v="4"/>
    <s v="CUS-2020"/>
    <n v="100000"/>
    <s v="Port Harcourt"/>
    <x v="96"/>
    <x v="1"/>
    <n v="138000"/>
    <n v="21000"/>
    <s v="2025-10"/>
  </r>
  <r>
    <s v="ORD-7242"/>
    <x v="244"/>
    <x v="4"/>
    <s v="Chidi Okafor"/>
    <x v="2"/>
    <x v="4"/>
    <x v="1"/>
    <n v="1"/>
    <n v="27500"/>
    <n v="16500"/>
    <n v="0.05"/>
    <n v="4"/>
    <s v="CUS-2067"/>
    <n v="250000"/>
    <s v="Port Harcourt"/>
    <x v="99"/>
    <x v="0"/>
    <n v="26125"/>
    <n v="9625"/>
    <s v="2025-10"/>
  </r>
  <r>
    <s v="ORD-7296"/>
    <x v="104"/>
    <x v="4"/>
    <s v="Chidi Okafor"/>
    <x v="0"/>
    <x v="6"/>
    <x v="4"/>
    <n v="1"/>
    <n v="6800"/>
    <n v="3900"/>
    <n v="0"/>
    <n v="5"/>
    <s v="CUS-2020"/>
    <n v="100000"/>
    <s v="Port Harcourt"/>
    <x v="96"/>
    <x v="1"/>
    <n v="6800"/>
    <n v="2900"/>
    <s v="2025-10"/>
  </r>
  <r>
    <s v="ORD-7209"/>
    <x v="65"/>
    <x v="4"/>
    <s v="Chidi Okafor"/>
    <x v="1"/>
    <x v="1"/>
    <x v="1"/>
    <n v="3"/>
    <n v="41000"/>
    <n v="25000"/>
    <n v="0"/>
    <n v="10"/>
    <s v="CUS-2039"/>
    <n v="150000"/>
    <s v="Port Harcourt"/>
    <x v="102"/>
    <x v="2"/>
    <n v="123000"/>
    <n v="48000"/>
    <s v="2025-10"/>
  </r>
  <r>
    <s v="ORD-7082"/>
    <x v="245"/>
    <x v="4"/>
    <s v="Chidi Okafor"/>
    <x v="2"/>
    <x v="7"/>
    <x v="0"/>
    <n v="1"/>
    <n v="46000"/>
    <n v="39000"/>
    <n v="0"/>
    <n v="3"/>
    <s v="CUS-2043"/>
    <n v="50000"/>
    <s v="Port Harcourt"/>
    <x v="105"/>
    <x v="1"/>
    <n v="46000"/>
    <n v="7000"/>
    <s v="2025-10"/>
  </r>
  <r>
    <s v="ORD-7386"/>
    <x v="246"/>
    <x v="4"/>
    <s v="Chidi Okafor"/>
    <x v="3"/>
    <x v="8"/>
    <x v="5"/>
    <n v="1"/>
    <n v="15500"/>
    <n v="9900"/>
    <n v="0"/>
    <n v="3"/>
    <s v="CUS-2065"/>
    <n v="250000"/>
    <s v="Port Harcourt"/>
    <x v="95"/>
    <x v="0"/>
    <n v="15500"/>
    <n v="5600"/>
    <s v="2025-10"/>
  </r>
  <r>
    <s v="ORD-7403"/>
    <x v="139"/>
    <x v="4"/>
    <s v="Chidi Okafor"/>
    <x v="1"/>
    <x v="1"/>
    <x v="1"/>
    <n v="4"/>
    <n v="41000"/>
    <n v="25000"/>
    <n v="0.1"/>
    <n v="1"/>
    <s v="CUS-2048"/>
    <n v="150000"/>
    <s v="Port Harcourt"/>
    <x v="108"/>
    <x v="0"/>
    <n v="147600"/>
    <n v="47600"/>
    <s v="2025-11"/>
  </r>
  <r>
    <s v="ORD-7068"/>
    <x v="247"/>
    <x v="4"/>
    <s v="Chidi Okafor"/>
    <x v="1"/>
    <x v="3"/>
    <x v="3"/>
    <n v="4"/>
    <n v="32000"/>
    <n v="21000"/>
    <n v="0"/>
    <n v="4"/>
    <s v="CUS-2043"/>
    <n v="50000"/>
    <s v="Port Harcourt"/>
    <x v="105"/>
    <x v="1"/>
    <n v="128000"/>
    <n v="44000"/>
    <s v="2025-11"/>
  </r>
  <r>
    <s v="ORD-7285"/>
    <x v="206"/>
    <x v="4"/>
    <s v="Chidi Okafor"/>
    <x v="3"/>
    <x v="11"/>
    <x v="5"/>
    <n v="10"/>
    <n v="22000"/>
    <n v="13800"/>
    <n v="0"/>
    <n v="2"/>
    <s v="CUS-2065"/>
    <n v="250000"/>
    <s v="Port Harcourt"/>
    <x v="95"/>
    <x v="0"/>
    <n v="220000"/>
    <n v="82000"/>
    <s v="2025-11"/>
  </r>
  <r>
    <s v="ORD-7300"/>
    <x v="143"/>
    <x v="4"/>
    <s v="Chidi Okafor"/>
    <x v="0"/>
    <x v="6"/>
    <x v="4"/>
    <n v="2"/>
    <n v="6800"/>
    <n v="3900"/>
    <n v="0"/>
    <n v="2"/>
    <s v="CUS-2019"/>
    <n v="250000"/>
    <s v="Port Harcourt"/>
    <x v="104"/>
    <x v="1"/>
    <n v="13600"/>
    <n v="5800"/>
    <s v="2025-12"/>
  </r>
  <r>
    <s v="ORD-7363"/>
    <x v="213"/>
    <x v="4"/>
    <s v="Chidi Okafor"/>
    <x v="1"/>
    <x v="1"/>
    <x v="1"/>
    <n v="3"/>
    <n v="41000"/>
    <n v="25000"/>
    <n v="0"/>
    <n v="3"/>
    <s v="CUS-2079"/>
    <n v="50000"/>
    <s v="Port Harcourt"/>
    <x v="94"/>
    <x v="2"/>
    <n v="123000"/>
    <n v="48000"/>
    <s v="2025-12"/>
  </r>
  <r>
    <s v="ORD-7279"/>
    <x v="248"/>
    <x v="4"/>
    <s v="Chidi Okafor"/>
    <x v="3"/>
    <x v="0"/>
    <x v="0"/>
    <n v="4"/>
    <n v="9800"/>
    <n v="7600"/>
    <n v="0"/>
    <n v="2"/>
    <s v="CUS-2019"/>
    <n v="250000"/>
    <s v="Port Harcourt"/>
    <x v="104"/>
    <x v="1"/>
    <n v="39200"/>
    <n v="8800"/>
    <s v="2025-12"/>
  </r>
  <r>
    <s v="ORD-7387"/>
    <x v="248"/>
    <x v="4"/>
    <s v="Chidi Okafor"/>
    <x v="3"/>
    <x v="7"/>
    <x v="0"/>
    <n v="6"/>
    <n v="46000"/>
    <n v="39000"/>
    <n v="0"/>
    <n v="4"/>
    <s v="CUS-2019"/>
    <n v="250000"/>
    <s v="Port Harcourt"/>
    <x v="104"/>
    <x v="1"/>
    <n v="276000"/>
    <n v="42000"/>
    <s v="2025-12"/>
  </r>
  <r>
    <s v="ORD-7355"/>
    <x v="249"/>
    <x v="4"/>
    <s v="Chidi Okafor"/>
    <x v="0"/>
    <x v="1"/>
    <x v="1"/>
    <n v="2"/>
    <n v="41000"/>
    <n v="25000"/>
    <n v="0"/>
    <n v="3"/>
    <s v="CUS-2020"/>
    <n v="100000"/>
    <s v="Port Harcourt"/>
    <x v="96"/>
    <x v="1"/>
    <n v="82000"/>
    <n v="32000"/>
    <s v="2025-12"/>
  </r>
  <r>
    <s v="ORD-7076"/>
    <x v="112"/>
    <x v="3"/>
    <s v="Tunde Bello"/>
    <x v="0"/>
    <x v="3"/>
    <x v="3"/>
    <n v="1"/>
    <n v="32000"/>
    <n v="21000"/>
    <n v="0"/>
    <n v="3"/>
    <s v="CUS-9017"/>
    <s v="Unknown"/>
    <s v="Unknown customer"/>
    <x v="110"/>
    <x v="3"/>
    <n v="32000"/>
    <n v="11000"/>
    <s v="2025-01"/>
  </r>
  <r>
    <s v="ORD-7064"/>
    <x v="161"/>
    <x v="4"/>
    <s v="Chidi Okafor"/>
    <x v="0"/>
    <x v="1"/>
    <x v="1"/>
    <n v="4"/>
    <n v="41000"/>
    <n v="25000"/>
    <n v="0"/>
    <n v="4"/>
    <s v="CUS-9088"/>
    <s v="Unknown"/>
    <s v="Unknown customer"/>
    <x v="110"/>
    <x v="3"/>
    <n v="164000"/>
    <n v="64000"/>
    <s v="2025-03"/>
  </r>
  <r>
    <s v="ORD-7314"/>
    <x v="186"/>
    <x v="1"/>
    <s v="Segun Adeyemi"/>
    <x v="2"/>
    <x v="8"/>
    <x v="5"/>
    <n v="10"/>
    <n v="15500"/>
    <n v="9900"/>
    <n v="0"/>
    <n v="4"/>
    <s v="CUS-9203"/>
    <s v="Unknown"/>
    <s v="Unknown customer"/>
    <x v="110"/>
    <x v="3"/>
    <n v="155000"/>
    <n v="56000"/>
    <s v="2025-06"/>
  </r>
  <r>
    <s v="ORD-7415"/>
    <x v="250"/>
    <x v="3"/>
    <s v="Tunde Bello"/>
    <x v="2"/>
    <x v="7"/>
    <x v="0"/>
    <n v="3"/>
    <n v="46000"/>
    <n v="39000"/>
    <n v="0"/>
    <n v="4"/>
    <s v="CUS-9344"/>
    <s v="Unknown"/>
    <s v="Unknown customer"/>
    <x v="110"/>
    <x v="3"/>
    <n v="138000"/>
    <n v="21000"/>
    <s v="2025-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BB5C5-3598-4C8D-B8BA-B9C80872A8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6" firstHeaderRow="0" firstDataRow="1" firstDataCol="1"/>
  <pivotFields count="21">
    <pivotField showAll="0"/>
    <pivotField numFmtId="164" showAll="0">
      <items count="253">
        <item x="149"/>
        <item x="0"/>
        <item x="1"/>
        <item x="2"/>
        <item x="150"/>
        <item x="3"/>
        <item x="151"/>
        <item x="112"/>
        <item x="152"/>
        <item x="220"/>
        <item x="4"/>
        <item x="221"/>
        <item x="5"/>
        <item x="113"/>
        <item x="6"/>
        <item x="153"/>
        <item x="74"/>
        <item x="7"/>
        <item x="154"/>
        <item x="222"/>
        <item x="155"/>
        <item x="223"/>
        <item x="75"/>
        <item x="224"/>
        <item x="225"/>
        <item x="8"/>
        <item x="76"/>
        <item x="156"/>
        <item x="9"/>
        <item x="10"/>
        <item x="157"/>
        <item x="11"/>
        <item x="226"/>
        <item x="158"/>
        <item x="159"/>
        <item x="12"/>
        <item x="114"/>
        <item x="115"/>
        <item x="116"/>
        <item x="160"/>
        <item x="13"/>
        <item x="14"/>
        <item x="15"/>
        <item x="117"/>
        <item x="16"/>
        <item x="17"/>
        <item x="118"/>
        <item x="18"/>
        <item x="77"/>
        <item x="78"/>
        <item x="227"/>
        <item x="79"/>
        <item x="161"/>
        <item x="162"/>
        <item x="228"/>
        <item x="119"/>
        <item x="163"/>
        <item x="164"/>
        <item x="80"/>
        <item x="229"/>
        <item x="230"/>
        <item x="120"/>
        <item x="165"/>
        <item x="19"/>
        <item x="81"/>
        <item x="20"/>
        <item x="166"/>
        <item x="82"/>
        <item x="167"/>
        <item x="168"/>
        <item x="169"/>
        <item x="21"/>
        <item x="170"/>
        <item x="22"/>
        <item x="23"/>
        <item x="83"/>
        <item x="171"/>
        <item x="24"/>
        <item x="172"/>
        <item x="84"/>
        <item x="25"/>
        <item x="26"/>
        <item x="231"/>
        <item x="121"/>
        <item x="173"/>
        <item x="174"/>
        <item x="27"/>
        <item x="175"/>
        <item x="28"/>
        <item x="85"/>
        <item x="176"/>
        <item x="29"/>
        <item x="232"/>
        <item x="177"/>
        <item x="30"/>
        <item x="233"/>
        <item x="178"/>
        <item x="86"/>
        <item x="87"/>
        <item x="179"/>
        <item x="31"/>
        <item x="88"/>
        <item x="122"/>
        <item x="32"/>
        <item x="123"/>
        <item x="33"/>
        <item x="234"/>
        <item x="34"/>
        <item x="89"/>
        <item x="90"/>
        <item x="35"/>
        <item x="180"/>
        <item x="91"/>
        <item x="181"/>
        <item x="182"/>
        <item x="36"/>
        <item x="183"/>
        <item x="37"/>
        <item x="38"/>
        <item x="235"/>
        <item x="184"/>
        <item x="39"/>
        <item x="236"/>
        <item x="185"/>
        <item x="92"/>
        <item x="186"/>
        <item x="124"/>
        <item x="93"/>
        <item x="187"/>
        <item x="40"/>
        <item x="188"/>
        <item x="41"/>
        <item x="94"/>
        <item x="95"/>
        <item x="42"/>
        <item x="237"/>
        <item x="43"/>
        <item x="189"/>
        <item x="125"/>
        <item x="126"/>
        <item x="238"/>
        <item x="127"/>
        <item x="96"/>
        <item x="190"/>
        <item x="44"/>
        <item x="45"/>
        <item x="128"/>
        <item x="46"/>
        <item x="47"/>
        <item x="48"/>
        <item x="239"/>
        <item x="97"/>
        <item x="49"/>
        <item x="50"/>
        <item x="129"/>
        <item x="51"/>
        <item x="130"/>
        <item x="131"/>
        <item x="240"/>
        <item x="191"/>
        <item x="52"/>
        <item x="241"/>
        <item x="53"/>
        <item x="54"/>
        <item x="55"/>
        <item x="56"/>
        <item x="192"/>
        <item x="193"/>
        <item x="98"/>
        <item x="194"/>
        <item x="99"/>
        <item x="132"/>
        <item x="195"/>
        <item x="196"/>
        <item x="100"/>
        <item x="57"/>
        <item x="58"/>
        <item x="133"/>
        <item x="101"/>
        <item x="197"/>
        <item x="102"/>
        <item x="59"/>
        <item x="103"/>
        <item x="134"/>
        <item x="242"/>
        <item x="243"/>
        <item x="198"/>
        <item x="199"/>
        <item x="60"/>
        <item x="135"/>
        <item x="61"/>
        <item x="62"/>
        <item x="63"/>
        <item x="244"/>
        <item x="64"/>
        <item x="104"/>
        <item x="105"/>
        <item x="65"/>
        <item x="245"/>
        <item x="200"/>
        <item x="136"/>
        <item x="246"/>
        <item x="66"/>
        <item x="67"/>
        <item x="137"/>
        <item x="68"/>
        <item x="201"/>
        <item x="69"/>
        <item x="202"/>
        <item x="106"/>
        <item x="107"/>
        <item x="138"/>
        <item x="250"/>
        <item x="139"/>
        <item x="247"/>
        <item x="140"/>
        <item x="203"/>
        <item x="70"/>
        <item x="204"/>
        <item x="141"/>
        <item x="205"/>
        <item x="108"/>
        <item x="206"/>
        <item x="71"/>
        <item x="109"/>
        <item x="207"/>
        <item x="208"/>
        <item x="142"/>
        <item x="209"/>
        <item x="210"/>
        <item x="72"/>
        <item x="143"/>
        <item x="211"/>
        <item x="144"/>
        <item x="145"/>
        <item x="212"/>
        <item x="213"/>
        <item x="248"/>
        <item x="146"/>
        <item x="147"/>
        <item x="214"/>
        <item x="215"/>
        <item x="216"/>
        <item x="73"/>
        <item x="217"/>
        <item x="218"/>
        <item x="148"/>
        <item x="249"/>
        <item x="110"/>
        <item x="219"/>
        <item x="111"/>
        <item m="1" x="2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dataField="1"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7" baseField="0" baseItem="0"/>
    <dataField name="Sum of Profit_ngn" fld="1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ADDDE-9FC4-491D-B0D8-176DCF31D91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H8" firstHeaderRow="1" firstDataRow="2" firstDataCol="1"/>
  <pivotFields count="21">
    <pivotField showAll="0"/>
    <pivotField numFmtId="164" showAll="0">
      <items count="253">
        <item x="149"/>
        <item x="0"/>
        <item x="1"/>
        <item x="2"/>
        <item x="150"/>
        <item x="3"/>
        <item x="151"/>
        <item x="112"/>
        <item x="152"/>
        <item x="220"/>
        <item x="4"/>
        <item x="221"/>
        <item x="5"/>
        <item x="113"/>
        <item x="6"/>
        <item x="153"/>
        <item x="74"/>
        <item x="7"/>
        <item x="154"/>
        <item x="222"/>
        <item x="155"/>
        <item x="223"/>
        <item x="75"/>
        <item x="224"/>
        <item x="225"/>
        <item x="8"/>
        <item x="76"/>
        <item x="156"/>
        <item x="9"/>
        <item x="10"/>
        <item x="157"/>
        <item x="11"/>
        <item x="226"/>
        <item x="158"/>
        <item x="159"/>
        <item x="12"/>
        <item x="114"/>
        <item x="115"/>
        <item x="116"/>
        <item x="160"/>
        <item x="13"/>
        <item x="14"/>
        <item x="15"/>
        <item x="117"/>
        <item x="16"/>
        <item x="17"/>
        <item x="118"/>
        <item x="18"/>
        <item x="77"/>
        <item x="78"/>
        <item x="227"/>
        <item x="79"/>
        <item x="161"/>
        <item x="162"/>
        <item x="228"/>
        <item x="119"/>
        <item x="163"/>
        <item x="164"/>
        <item x="80"/>
        <item x="229"/>
        <item x="230"/>
        <item x="120"/>
        <item x="165"/>
        <item x="19"/>
        <item x="81"/>
        <item x="20"/>
        <item x="166"/>
        <item x="82"/>
        <item x="167"/>
        <item x="168"/>
        <item x="169"/>
        <item x="21"/>
        <item x="170"/>
        <item x="22"/>
        <item x="23"/>
        <item x="83"/>
        <item x="171"/>
        <item x="24"/>
        <item x="172"/>
        <item x="84"/>
        <item x="25"/>
        <item x="26"/>
        <item x="231"/>
        <item x="121"/>
        <item x="173"/>
        <item x="174"/>
        <item x="27"/>
        <item x="175"/>
        <item x="28"/>
        <item x="85"/>
        <item x="176"/>
        <item x="29"/>
        <item x="232"/>
        <item x="177"/>
        <item x="30"/>
        <item x="233"/>
        <item x="178"/>
        <item x="86"/>
        <item x="87"/>
        <item x="179"/>
        <item x="31"/>
        <item x="88"/>
        <item x="122"/>
        <item x="32"/>
        <item x="123"/>
        <item x="33"/>
        <item x="234"/>
        <item x="34"/>
        <item x="89"/>
        <item x="90"/>
        <item x="35"/>
        <item x="180"/>
        <item x="91"/>
        <item x="181"/>
        <item x="182"/>
        <item x="36"/>
        <item x="183"/>
        <item x="37"/>
        <item x="38"/>
        <item x="235"/>
        <item x="184"/>
        <item x="39"/>
        <item x="236"/>
        <item x="185"/>
        <item x="92"/>
        <item x="186"/>
        <item x="124"/>
        <item x="93"/>
        <item x="187"/>
        <item x="40"/>
        <item x="188"/>
        <item x="41"/>
        <item x="94"/>
        <item x="95"/>
        <item x="42"/>
        <item x="237"/>
        <item x="43"/>
        <item x="189"/>
        <item x="125"/>
        <item x="126"/>
        <item x="238"/>
        <item x="127"/>
        <item x="96"/>
        <item x="190"/>
        <item x="44"/>
        <item x="45"/>
        <item x="128"/>
        <item x="46"/>
        <item x="47"/>
        <item x="48"/>
        <item x="239"/>
        <item x="97"/>
        <item x="49"/>
        <item x="50"/>
        <item x="129"/>
        <item x="51"/>
        <item x="130"/>
        <item x="131"/>
        <item x="240"/>
        <item x="191"/>
        <item x="52"/>
        <item x="241"/>
        <item x="53"/>
        <item x="54"/>
        <item x="55"/>
        <item x="56"/>
        <item x="192"/>
        <item x="193"/>
        <item x="98"/>
        <item x="194"/>
        <item x="99"/>
        <item x="132"/>
        <item x="195"/>
        <item x="196"/>
        <item x="100"/>
        <item x="57"/>
        <item x="58"/>
        <item x="133"/>
        <item x="101"/>
        <item x="197"/>
        <item x="102"/>
        <item x="59"/>
        <item x="103"/>
        <item x="134"/>
        <item x="242"/>
        <item x="243"/>
        <item x="198"/>
        <item x="199"/>
        <item x="60"/>
        <item x="135"/>
        <item x="61"/>
        <item x="62"/>
        <item x="63"/>
        <item x="244"/>
        <item x="64"/>
        <item x="104"/>
        <item x="105"/>
        <item x="65"/>
        <item x="245"/>
        <item x="200"/>
        <item x="136"/>
        <item x="246"/>
        <item x="66"/>
        <item x="67"/>
        <item x="137"/>
        <item x="68"/>
        <item x="201"/>
        <item x="69"/>
        <item x="202"/>
        <item x="106"/>
        <item x="107"/>
        <item x="138"/>
        <item x="250"/>
        <item x="139"/>
        <item x="247"/>
        <item x="140"/>
        <item x="203"/>
        <item x="70"/>
        <item x="204"/>
        <item x="141"/>
        <item x="205"/>
        <item x="108"/>
        <item x="206"/>
        <item x="71"/>
        <item x="109"/>
        <item x="207"/>
        <item x="208"/>
        <item x="142"/>
        <item x="209"/>
        <item x="210"/>
        <item x="72"/>
        <item x="143"/>
        <item x="211"/>
        <item x="144"/>
        <item x="145"/>
        <item x="212"/>
        <item x="213"/>
        <item x="248"/>
        <item x="146"/>
        <item x="147"/>
        <item x="214"/>
        <item x="215"/>
        <item x="216"/>
        <item x="73"/>
        <item x="217"/>
        <item x="218"/>
        <item x="148"/>
        <item x="249"/>
        <item x="110"/>
        <item x="219"/>
        <item x="111"/>
        <item m="1" x="251"/>
        <item t="default"/>
      </items>
    </pivotField>
    <pivotField axis="axisRow" showAll="0">
      <items count="7">
        <item x="0"/>
        <item x="1"/>
        <item x="2"/>
        <item x="3"/>
        <item x="4"/>
        <item m="1" x="5"/>
        <item t="default"/>
      </items>
    </pivotField>
    <pivotField showAll="0"/>
    <pivotField showAll="0"/>
    <pivotField showAll="0"/>
    <pivotField axis="axisCol" showAll="0">
      <items count="8">
        <item x="4"/>
        <item x="5"/>
        <item x="1"/>
        <item x="0"/>
        <item x="3"/>
        <item x="2"/>
        <item m="1" x="6"/>
        <item t="default"/>
      </items>
    </pivotField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CCAAF-BD97-49FF-B809-9EEF3CFD190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2" firstHeaderRow="1" firstDataRow="1" firstDataCol="1"/>
  <pivotFields count="21">
    <pivotField showAll="0"/>
    <pivotField numFmtId="164" showAll="0">
      <items count="253">
        <item x="149"/>
        <item x="0"/>
        <item x="1"/>
        <item x="2"/>
        <item x="150"/>
        <item x="3"/>
        <item x="151"/>
        <item x="112"/>
        <item x="152"/>
        <item x="220"/>
        <item x="4"/>
        <item x="221"/>
        <item x="5"/>
        <item x="113"/>
        <item x="6"/>
        <item x="153"/>
        <item x="74"/>
        <item x="7"/>
        <item x="154"/>
        <item x="222"/>
        <item x="155"/>
        <item x="223"/>
        <item x="75"/>
        <item x="224"/>
        <item x="225"/>
        <item x="8"/>
        <item x="76"/>
        <item x="156"/>
        <item x="9"/>
        <item x="10"/>
        <item x="157"/>
        <item x="11"/>
        <item x="226"/>
        <item x="158"/>
        <item x="159"/>
        <item x="12"/>
        <item x="114"/>
        <item x="115"/>
        <item x="116"/>
        <item x="160"/>
        <item x="13"/>
        <item x="14"/>
        <item x="15"/>
        <item x="117"/>
        <item x="16"/>
        <item x="17"/>
        <item x="118"/>
        <item x="18"/>
        <item x="77"/>
        <item x="78"/>
        <item x="227"/>
        <item x="79"/>
        <item x="161"/>
        <item x="162"/>
        <item x="228"/>
        <item x="119"/>
        <item x="163"/>
        <item x="164"/>
        <item x="80"/>
        <item x="229"/>
        <item x="230"/>
        <item x="120"/>
        <item x="165"/>
        <item x="19"/>
        <item x="81"/>
        <item x="20"/>
        <item x="166"/>
        <item x="82"/>
        <item x="167"/>
        <item x="168"/>
        <item x="169"/>
        <item x="21"/>
        <item x="170"/>
        <item x="22"/>
        <item x="23"/>
        <item x="83"/>
        <item x="171"/>
        <item x="24"/>
        <item x="172"/>
        <item x="84"/>
        <item x="25"/>
        <item x="26"/>
        <item x="231"/>
        <item x="121"/>
        <item x="173"/>
        <item x="174"/>
        <item x="27"/>
        <item x="175"/>
        <item x="28"/>
        <item x="85"/>
        <item x="176"/>
        <item x="29"/>
        <item x="232"/>
        <item x="177"/>
        <item x="30"/>
        <item x="233"/>
        <item x="178"/>
        <item x="86"/>
        <item x="87"/>
        <item x="179"/>
        <item x="31"/>
        <item x="88"/>
        <item x="122"/>
        <item x="32"/>
        <item x="123"/>
        <item x="33"/>
        <item x="234"/>
        <item x="34"/>
        <item x="89"/>
        <item x="90"/>
        <item x="35"/>
        <item x="180"/>
        <item x="91"/>
        <item x="181"/>
        <item x="182"/>
        <item x="36"/>
        <item x="183"/>
        <item x="37"/>
        <item x="38"/>
        <item x="235"/>
        <item x="184"/>
        <item x="39"/>
        <item x="236"/>
        <item x="185"/>
        <item x="92"/>
        <item x="186"/>
        <item x="124"/>
        <item x="93"/>
        <item x="187"/>
        <item x="40"/>
        <item x="188"/>
        <item x="41"/>
        <item x="94"/>
        <item x="95"/>
        <item x="42"/>
        <item x="237"/>
        <item x="43"/>
        <item x="189"/>
        <item x="125"/>
        <item x="126"/>
        <item x="238"/>
        <item x="127"/>
        <item x="96"/>
        <item x="190"/>
        <item x="44"/>
        <item x="45"/>
        <item x="128"/>
        <item x="46"/>
        <item x="47"/>
        <item x="48"/>
        <item x="239"/>
        <item x="97"/>
        <item x="49"/>
        <item x="50"/>
        <item x="129"/>
        <item x="51"/>
        <item x="130"/>
        <item x="131"/>
        <item x="240"/>
        <item x="191"/>
        <item x="52"/>
        <item x="241"/>
        <item x="53"/>
        <item x="54"/>
        <item x="55"/>
        <item x="56"/>
        <item x="192"/>
        <item x="193"/>
        <item x="98"/>
        <item x="194"/>
        <item x="99"/>
        <item x="132"/>
        <item x="195"/>
        <item x="196"/>
        <item x="100"/>
        <item x="57"/>
        <item x="58"/>
        <item x="133"/>
        <item x="101"/>
        <item x="197"/>
        <item x="102"/>
        <item x="59"/>
        <item x="103"/>
        <item x="134"/>
        <item x="242"/>
        <item x="243"/>
        <item x="198"/>
        <item x="199"/>
        <item x="60"/>
        <item x="135"/>
        <item x="61"/>
        <item x="62"/>
        <item x="63"/>
        <item x="244"/>
        <item x="64"/>
        <item x="104"/>
        <item x="105"/>
        <item x="65"/>
        <item x="245"/>
        <item x="200"/>
        <item x="136"/>
        <item x="246"/>
        <item x="66"/>
        <item x="67"/>
        <item x="137"/>
        <item x="68"/>
        <item x="201"/>
        <item x="69"/>
        <item x="202"/>
        <item x="106"/>
        <item x="107"/>
        <item x="138"/>
        <item x="250"/>
        <item x="139"/>
        <item x="247"/>
        <item x="140"/>
        <item x="203"/>
        <item x="70"/>
        <item x="204"/>
        <item x="141"/>
        <item x="205"/>
        <item x="108"/>
        <item x="206"/>
        <item x="71"/>
        <item x="109"/>
        <item x="207"/>
        <item x="208"/>
        <item x="142"/>
        <item x="209"/>
        <item x="210"/>
        <item x="72"/>
        <item x="143"/>
        <item x="211"/>
        <item x="144"/>
        <item x="145"/>
        <item x="212"/>
        <item x="213"/>
        <item x="248"/>
        <item x="146"/>
        <item x="147"/>
        <item x="214"/>
        <item x="215"/>
        <item x="216"/>
        <item x="73"/>
        <item x="217"/>
        <item x="218"/>
        <item x="148"/>
        <item x="249"/>
        <item x="110"/>
        <item x="219"/>
        <item x="111"/>
        <item m="1" x="251"/>
        <item t="default"/>
      </items>
    </pivotField>
    <pivotField showAll="0"/>
    <pivotField showAll="0"/>
    <pivotField showAll="0"/>
    <pivotField axis="axisRow" showAll="0" measureFilter="1" sortType="descending">
      <items count="14">
        <item x="2"/>
        <item x="1"/>
        <item x="5"/>
        <item x="3"/>
        <item x="6"/>
        <item x="10"/>
        <item x="11"/>
        <item x="0"/>
        <item x="8"/>
        <item x="7"/>
        <item x="4"/>
        <item x="9"/>
        <item m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1">
    <i>
      <x v="1"/>
    </i>
    <i>
      <x v="10"/>
    </i>
    <i>
      <x v="9"/>
    </i>
    <i>
      <x v="11"/>
    </i>
    <i>
      <x v="5"/>
    </i>
    <i>
      <x v="6"/>
    </i>
    <i>
      <x v="3"/>
    </i>
    <i>
      <x v="2"/>
    </i>
    <i>
      <x v="8"/>
    </i>
    <i>
      <x/>
    </i>
    <i t="grand">
      <x/>
    </i>
  </rowItems>
  <colItems count="1">
    <i/>
  </colItems>
  <dataFields count="1">
    <dataField name="Sum of Profit_ngn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1C97D-5B56-47E7-B065-2A0B995694F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4" firstHeaderRow="1" firstDataRow="1" firstDataCol="1"/>
  <pivotFields count="21">
    <pivotField showAll="0"/>
    <pivotField numFmtId="164" showAll="0">
      <items count="253">
        <item x="149"/>
        <item x="0"/>
        <item x="1"/>
        <item x="2"/>
        <item x="150"/>
        <item x="3"/>
        <item x="151"/>
        <item x="112"/>
        <item x="152"/>
        <item x="220"/>
        <item x="4"/>
        <item x="221"/>
        <item x="5"/>
        <item x="113"/>
        <item x="6"/>
        <item x="153"/>
        <item x="74"/>
        <item x="7"/>
        <item x="154"/>
        <item x="222"/>
        <item x="155"/>
        <item x="223"/>
        <item x="75"/>
        <item x="224"/>
        <item x="225"/>
        <item x="8"/>
        <item x="76"/>
        <item x="156"/>
        <item x="9"/>
        <item x="10"/>
        <item x="157"/>
        <item x="11"/>
        <item x="226"/>
        <item x="158"/>
        <item x="159"/>
        <item x="12"/>
        <item x="114"/>
        <item x="115"/>
        <item x="116"/>
        <item x="160"/>
        <item x="13"/>
        <item x="14"/>
        <item x="15"/>
        <item x="117"/>
        <item x="16"/>
        <item x="17"/>
        <item x="118"/>
        <item x="18"/>
        <item x="77"/>
        <item x="78"/>
        <item x="227"/>
        <item x="79"/>
        <item x="161"/>
        <item x="162"/>
        <item x="228"/>
        <item x="119"/>
        <item x="163"/>
        <item x="164"/>
        <item x="80"/>
        <item x="229"/>
        <item x="230"/>
        <item x="120"/>
        <item x="165"/>
        <item x="19"/>
        <item x="81"/>
        <item x="20"/>
        <item x="166"/>
        <item x="82"/>
        <item x="167"/>
        <item x="168"/>
        <item x="169"/>
        <item x="21"/>
        <item x="170"/>
        <item x="22"/>
        <item x="23"/>
        <item x="83"/>
        <item x="171"/>
        <item x="24"/>
        <item x="172"/>
        <item x="84"/>
        <item x="25"/>
        <item x="26"/>
        <item x="231"/>
        <item x="121"/>
        <item x="173"/>
        <item x="174"/>
        <item x="27"/>
        <item x="175"/>
        <item x="28"/>
        <item x="85"/>
        <item x="176"/>
        <item x="29"/>
        <item x="232"/>
        <item x="177"/>
        <item x="30"/>
        <item x="233"/>
        <item x="178"/>
        <item x="86"/>
        <item x="87"/>
        <item x="179"/>
        <item x="31"/>
        <item x="88"/>
        <item x="122"/>
        <item x="32"/>
        <item x="123"/>
        <item x="33"/>
        <item x="234"/>
        <item x="34"/>
        <item x="89"/>
        <item x="90"/>
        <item x="35"/>
        <item x="180"/>
        <item x="91"/>
        <item x="181"/>
        <item x="182"/>
        <item x="36"/>
        <item x="183"/>
        <item x="37"/>
        <item x="38"/>
        <item x="235"/>
        <item x="184"/>
        <item x="39"/>
        <item x="236"/>
        <item x="185"/>
        <item x="92"/>
        <item x="186"/>
        <item x="124"/>
        <item x="93"/>
        <item x="187"/>
        <item x="40"/>
        <item x="188"/>
        <item x="41"/>
        <item x="94"/>
        <item x="95"/>
        <item x="42"/>
        <item x="237"/>
        <item x="43"/>
        <item x="189"/>
        <item x="125"/>
        <item x="126"/>
        <item x="238"/>
        <item x="127"/>
        <item x="96"/>
        <item x="190"/>
        <item x="44"/>
        <item x="45"/>
        <item x="128"/>
        <item x="46"/>
        <item x="47"/>
        <item x="48"/>
        <item x="239"/>
        <item x="97"/>
        <item x="49"/>
        <item x="50"/>
        <item x="129"/>
        <item x="51"/>
        <item x="130"/>
        <item x="131"/>
        <item x="240"/>
        <item x="191"/>
        <item x="52"/>
        <item x="241"/>
        <item x="53"/>
        <item x="54"/>
        <item x="55"/>
        <item x="56"/>
        <item x="192"/>
        <item x="193"/>
        <item x="98"/>
        <item x="194"/>
        <item x="99"/>
        <item x="132"/>
        <item x="195"/>
        <item x="196"/>
        <item x="100"/>
        <item x="57"/>
        <item x="58"/>
        <item x="133"/>
        <item x="101"/>
        <item x="197"/>
        <item x="102"/>
        <item x="59"/>
        <item x="103"/>
        <item x="134"/>
        <item x="242"/>
        <item x="243"/>
        <item x="198"/>
        <item x="199"/>
        <item x="60"/>
        <item x="135"/>
        <item x="61"/>
        <item x="62"/>
        <item x="63"/>
        <item x="244"/>
        <item x="64"/>
        <item x="104"/>
        <item x="105"/>
        <item x="65"/>
        <item x="245"/>
        <item x="200"/>
        <item x="136"/>
        <item x="246"/>
        <item x="66"/>
        <item x="67"/>
        <item x="137"/>
        <item x="68"/>
        <item x="201"/>
        <item x="69"/>
        <item x="202"/>
        <item x="106"/>
        <item x="107"/>
        <item x="138"/>
        <item x="250"/>
        <item x="139"/>
        <item x="247"/>
        <item x="140"/>
        <item x="203"/>
        <item x="70"/>
        <item x="204"/>
        <item x="141"/>
        <item x="205"/>
        <item x="108"/>
        <item x="206"/>
        <item x="71"/>
        <item x="109"/>
        <item x="207"/>
        <item x="208"/>
        <item x="142"/>
        <item x="209"/>
        <item x="210"/>
        <item x="72"/>
        <item x="143"/>
        <item x="211"/>
        <item x="144"/>
        <item x="145"/>
        <item x="212"/>
        <item x="213"/>
        <item x="248"/>
        <item x="146"/>
        <item x="147"/>
        <item x="214"/>
        <item x="215"/>
        <item x="216"/>
        <item x="73"/>
        <item x="217"/>
        <item x="218"/>
        <item x="148"/>
        <item x="249"/>
        <item x="110"/>
        <item x="219"/>
        <item x="111"/>
        <item m="1" x="2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0180E-7090-486E-87F2-6C2CA9B3853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2" firstHeaderRow="1" firstDataRow="1" firstDataCol="1"/>
  <pivotFields count="21">
    <pivotField showAll="0"/>
    <pivotField numFmtId="164" showAll="0">
      <items count="253">
        <item x="149"/>
        <item x="0"/>
        <item x="1"/>
        <item x="2"/>
        <item x="150"/>
        <item x="3"/>
        <item x="151"/>
        <item x="112"/>
        <item x="152"/>
        <item x="220"/>
        <item x="4"/>
        <item x="221"/>
        <item x="5"/>
        <item x="113"/>
        <item x="6"/>
        <item x="153"/>
        <item x="74"/>
        <item x="7"/>
        <item x="154"/>
        <item x="222"/>
        <item x="155"/>
        <item x="223"/>
        <item x="75"/>
        <item x="224"/>
        <item x="225"/>
        <item x="8"/>
        <item x="76"/>
        <item x="156"/>
        <item x="9"/>
        <item x="10"/>
        <item x="157"/>
        <item x="11"/>
        <item x="226"/>
        <item x="158"/>
        <item x="159"/>
        <item x="12"/>
        <item x="114"/>
        <item x="115"/>
        <item x="116"/>
        <item x="160"/>
        <item x="13"/>
        <item x="14"/>
        <item x="15"/>
        <item x="117"/>
        <item x="16"/>
        <item x="17"/>
        <item x="118"/>
        <item x="18"/>
        <item x="77"/>
        <item x="78"/>
        <item x="227"/>
        <item x="79"/>
        <item x="161"/>
        <item x="162"/>
        <item x="228"/>
        <item x="119"/>
        <item x="163"/>
        <item x="164"/>
        <item x="80"/>
        <item x="229"/>
        <item x="230"/>
        <item x="120"/>
        <item x="165"/>
        <item x="19"/>
        <item x="81"/>
        <item x="20"/>
        <item x="166"/>
        <item x="82"/>
        <item x="167"/>
        <item x="168"/>
        <item x="169"/>
        <item x="21"/>
        <item x="170"/>
        <item x="22"/>
        <item x="23"/>
        <item x="83"/>
        <item x="171"/>
        <item x="24"/>
        <item x="172"/>
        <item x="84"/>
        <item x="25"/>
        <item x="26"/>
        <item x="231"/>
        <item x="121"/>
        <item x="173"/>
        <item x="174"/>
        <item x="27"/>
        <item x="175"/>
        <item x="28"/>
        <item x="85"/>
        <item x="176"/>
        <item x="29"/>
        <item x="232"/>
        <item x="177"/>
        <item x="30"/>
        <item x="233"/>
        <item x="178"/>
        <item x="86"/>
        <item x="87"/>
        <item x="179"/>
        <item x="31"/>
        <item x="88"/>
        <item x="122"/>
        <item x="32"/>
        <item x="123"/>
        <item x="33"/>
        <item x="234"/>
        <item x="34"/>
        <item x="89"/>
        <item x="90"/>
        <item x="35"/>
        <item x="180"/>
        <item x="91"/>
        <item x="181"/>
        <item x="182"/>
        <item x="36"/>
        <item x="183"/>
        <item x="37"/>
        <item x="38"/>
        <item x="235"/>
        <item x="184"/>
        <item x="39"/>
        <item x="236"/>
        <item x="185"/>
        <item x="92"/>
        <item x="186"/>
        <item x="124"/>
        <item x="93"/>
        <item x="187"/>
        <item x="40"/>
        <item x="188"/>
        <item x="41"/>
        <item x="94"/>
        <item x="95"/>
        <item x="42"/>
        <item x="237"/>
        <item x="43"/>
        <item x="189"/>
        <item x="125"/>
        <item x="126"/>
        <item x="238"/>
        <item x="127"/>
        <item x="96"/>
        <item x="190"/>
        <item x="44"/>
        <item x="45"/>
        <item x="128"/>
        <item x="46"/>
        <item x="47"/>
        <item x="48"/>
        <item x="239"/>
        <item x="97"/>
        <item x="49"/>
        <item x="50"/>
        <item x="129"/>
        <item x="51"/>
        <item x="130"/>
        <item x="131"/>
        <item x="240"/>
        <item x="191"/>
        <item x="52"/>
        <item x="241"/>
        <item x="53"/>
        <item x="54"/>
        <item x="55"/>
        <item x="56"/>
        <item x="192"/>
        <item x="193"/>
        <item x="98"/>
        <item x="194"/>
        <item x="99"/>
        <item x="132"/>
        <item x="195"/>
        <item x="196"/>
        <item x="100"/>
        <item x="57"/>
        <item x="58"/>
        <item x="133"/>
        <item x="101"/>
        <item x="197"/>
        <item x="102"/>
        <item x="59"/>
        <item x="103"/>
        <item x="134"/>
        <item x="242"/>
        <item x="243"/>
        <item x="198"/>
        <item x="199"/>
        <item x="60"/>
        <item x="135"/>
        <item x="61"/>
        <item x="62"/>
        <item x="63"/>
        <item x="244"/>
        <item x="64"/>
        <item x="104"/>
        <item x="105"/>
        <item x="65"/>
        <item x="245"/>
        <item x="200"/>
        <item x="136"/>
        <item x="246"/>
        <item x="66"/>
        <item x="67"/>
        <item x="137"/>
        <item x="68"/>
        <item x="201"/>
        <item x="69"/>
        <item x="202"/>
        <item x="106"/>
        <item x="107"/>
        <item x="138"/>
        <item x="250"/>
        <item x="139"/>
        <item x="247"/>
        <item x="140"/>
        <item x="203"/>
        <item x="70"/>
        <item x="204"/>
        <item x="141"/>
        <item x="205"/>
        <item x="108"/>
        <item x="206"/>
        <item x="71"/>
        <item x="109"/>
        <item x="207"/>
        <item x="208"/>
        <item x="142"/>
        <item x="209"/>
        <item x="210"/>
        <item x="72"/>
        <item x="143"/>
        <item x="211"/>
        <item x="144"/>
        <item x="145"/>
        <item x="212"/>
        <item x="213"/>
        <item x="248"/>
        <item x="146"/>
        <item x="147"/>
        <item x="214"/>
        <item x="215"/>
        <item x="216"/>
        <item x="73"/>
        <item x="217"/>
        <item x="218"/>
        <item x="148"/>
        <item x="249"/>
        <item x="110"/>
        <item x="219"/>
        <item x="111"/>
        <item m="1" x="2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axis="axisRow" showAll="0" measureFilter="1" sortType="descending">
      <items count="112">
        <item x="90"/>
        <item x="105"/>
        <item x="70"/>
        <item x="9"/>
        <item x="45"/>
        <item x="55"/>
        <item x="31"/>
        <item x="88"/>
        <item x="1"/>
        <item x="100"/>
        <item x="99"/>
        <item x="62"/>
        <item x="12"/>
        <item x="14"/>
        <item x="30"/>
        <item x="53"/>
        <item x="48"/>
        <item x="104"/>
        <item x="52"/>
        <item x="102"/>
        <item x="0"/>
        <item x="69"/>
        <item x="18"/>
        <item x="41"/>
        <item x="71"/>
        <item x="32"/>
        <item x="94"/>
        <item x="16"/>
        <item x="87"/>
        <item x="109"/>
        <item x="33"/>
        <item x="23"/>
        <item x="76"/>
        <item x="83"/>
        <item x="75"/>
        <item x="63"/>
        <item x="7"/>
        <item x="29"/>
        <item x="66"/>
        <item x="79"/>
        <item x="22"/>
        <item x="82"/>
        <item x="27"/>
        <item x="47"/>
        <item x="2"/>
        <item x="15"/>
        <item x="36"/>
        <item x="98"/>
        <item x="93"/>
        <item x="89"/>
        <item x="72"/>
        <item x="81"/>
        <item x="40"/>
        <item x="4"/>
        <item x="107"/>
        <item x="35"/>
        <item x="20"/>
        <item x="39"/>
        <item x="6"/>
        <item x="67"/>
        <item x="54"/>
        <item x="57"/>
        <item x="11"/>
        <item x="80"/>
        <item x="103"/>
        <item x="43"/>
        <item x="49"/>
        <item x="108"/>
        <item x="65"/>
        <item x="21"/>
        <item x="74"/>
        <item x="61"/>
        <item x="77"/>
        <item x="42"/>
        <item x="10"/>
        <item x="59"/>
        <item x="28"/>
        <item x="101"/>
        <item x="19"/>
        <item x="96"/>
        <item x="34"/>
        <item x="51"/>
        <item x="86"/>
        <item x="85"/>
        <item x="38"/>
        <item x="37"/>
        <item x="56"/>
        <item x="26"/>
        <item x="58"/>
        <item x="5"/>
        <item x="92"/>
        <item x="97"/>
        <item x="3"/>
        <item x="64"/>
        <item x="106"/>
        <item x="25"/>
        <item x="44"/>
        <item x="60"/>
        <item x="8"/>
        <item x="24"/>
        <item x="17"/>
        <item x="91"/>
        <item x="95"/>
        <item x="46"/>
        <item x="110"/>
        <item x="50"/>
        <item x="13"/>
        <item x="78"/>
        <item x="68"/>
        <item x="84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5"/>
  </rowFields>
  <rowItems count="11">
    <i>
      <x v="13"/>
    </i>
    <i>
      <x v="8"/>
    </i>
    <i>
      <x v="109"/>
    </i>
    <i>
      <x v="87"/>
    </i>
    <i>
      <x v="61"/>
    </i>
    <i>
      <x v="75"/>
    </i>
    <i>
      <x v="44"/>
    </i>
    <i>
      <x v="48"/>
    </i>
    <i>
      <x v="69"/>
    </i>
    <i>
      <x v="27"/>
    </i>
    <i t="grand">
      <x/>
    </i>
  </rowItems>
  <colItems count="1">
    <i/>
  </colItems>
  <dataFields count="1">
    <dataField name="Sum of revenue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01E10-309D-4B73-BE1E-BA565AB081B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21">
    <pivotField dataField="1" showAll="0"/>
    <pivotField numFmtId="164" showAll="0">
      <items count="253">
        <item x="149"/>
        <item x="0"/>
        <item x="1"/>
        <item x="2"/>
        <item x="150"/>
        <item x="3"/>
        <item x="151"/>
        <item x="112"/>
        <item x="152"/>
        <item x="220"/>
        <item x="4"/>
        <item x="221"/>
        <item x="5"/>
        <item x="113"/>
        <item x="6"/>
        <item x="153"/>
        <item x="74"/>
        <item x="7"/>
        <item x="154"/>
        <item x="222"/>
        <item x="155"/>
        <item x="223"/>
        <item x="75"/>
        <item x="224"/>
        <item x="225"/>
        <item x="8"/>
        <item x="76"/>
        <item x="156"/>
        <item x="9"/>
        <item x="10"/>
        <item x="157"/>
        <item x="11"/>
        <item x="226"/>
        <item x="158"/>
        <item x="159"/>
        <item x="12"/>
        <item x="114"/>
        <item x="115"/>
        <item x="116"/>
        <item x="160"/>
        <item x="13"/>
        <item x="14"/>
        <item x="15"/>
        <item x="117"/>
        <item x="16"/>
        <item x="17"/>
        <item x="118"/>
        <item x="18"/>
        <item x="77"/>
        <item x="78"/>
        <item x="227"/>
        <item x="79"/>
        <item x="161"/>
        <item x="162"/>
        <item x="228"/>
        <item x="119"/>
        <item x="163"/>
        <item x="164"/>
        <item x="80"/>
        <item x="229"/>
        <item x="230"/>
        <item x="120"/>
        <item x="165"/>
        <item x="19"/>
        <item x="81"/>
        <item x="20"/>
        <item x="166"/>
        <item x="82"/>
        <item x="167"/>
        <item x="168"/>
        <item x="169"/>
        <item x="21"/>
        <item x="170"/>
        <item x="22"/>
        <item x="23"/>
        <item x="83"/>
        <item x="171"/>
        <item x="24"/>
        <item x="172"/>
        <item x="84"/>
        <item x="25"/>
        <item x="26"/>
        <item x="231"/>
        <item x="121"/>
        <item x="173"/>
        <item x="174"/>
        <item x="27"/>
        <item x="175"/>
        <item x="28"/>
        <item x="85"/>
        <item x="176"/>
        <item x="29"/>
        <item x="232"/>
        <item x="177"/>
        <item x="30"/>
        <item x="233"/>
        <item x="178"/>
        <item x="86"/>
        <item x="87"/>
        <item x="179"/>
        <item x="31"/>
        <item x="88"/>
        <item x="122"/>
        <item x="32"/>
        <item x="123"/>
        <item x="33"/>
        <item x="234"/>
        <item x="34"/>
        <item x="89"/>
        <item x="90"/>
        <item x="35"/>
        <item x="180"/>
        <item x="91"/>
        <item x="181"/>
        <item x="182"/>
        <item x="36"/>
        <item x="183"/>
        <item x="37"/>
        <item x="38"/>
        <item x="235"/>
        <item x="184"/>
        <item x="39"/>
        <item x="236"/>
        <item x="185"/>
        <item x="92"/>
        <item x="186"/>
        <item x="124"/>
        <item x="93"/>
        <item x="187"/>
        <item x="40"/>
        <item x="188"/>
        <item x="41"/>
        <item x="94"/>
        <item x="95"/>
        <item x="42"/>
        <item x="237"/>
        <item x="43"/>
        <item x="189"/>
        <item x="125"/>
        <item x="126"/>
        <item x="238"/>
        <item x="127"/>
        <item x="96"/>
        <item x="190"/>
        <item x="44"/>
        <item x="45"/>
        <item x="128"/>
        <item x="46"/>
        <item x="47"/>
        <item x="48"/>
        <item x="239"/>
        <item x="97"/>
        <item x="49"/>
        <item x="50"/>
        <item x="129"/>
        <item x="51"/>
        <item x="130"/>
        <item x="131"/>
        <item x="240"/>
        <item x="191"/>
        <item x="52"/>
        <item x="241"/>
        <item x="53"/>
        <item x="54"/>
        <item x="55"/>
        <item x="56"/>
        <item x="192"/>
        <item x="193"/>
        <item x="98"/>
        <item x="194"/>
        <item x="99"/>
        <item x="132"/>
        <item x="195"/>
        <item x="196"/>
        <item x="100"/>
        <item x="57"/>
        <item x="58"/>
        <item x="133"/>
        <item x="101"/>
        <item x="197"/>
        <item x="102"/>
        <item x="59"/>
        <item x="103"/>
        <item x="134"/>
        <item x="242"/>
        <item x="243"/>
        <item x="198"/>
        <item x="199"/>
        <item x="60"/>
        <item x="135"/>
        <item x="61"/>
        <item x="62"/>
        <item x="63"/>
        <item x="244"/>
        <item x="64"/>
        <item x="104"/>
        <item x="105"/>
        <item x="65"/>
        <item x="245"/>
        <item x="200"/>
        <item x="136"/>
        <item x="246"/>
        <item x="66"/>
        <item x="67"/>
        <item x="137"/>
        <item x="68"/>
        <item x="201"/>
        <item x="69"/>
        <item x="202"/>
        <item x="106"/>
        <item x="107"/>
        <item x="138"/>
        <item x="250"/>
        <item x="139"/>
        <item x="247"/>
        <item x="140"/>
        <item x="203"/>
        <item x="70"/>
        <item x="204"/>
        <item x="141"/>
        <item x="205"/>
        <item x="108"/>
        <item x="206"/>
        <item x="71"/>
        <item x="109"/>
        <item x="207"/>
        <item x="208"/>
        <item x="142"/>
        <item x="209"/>
        <item x="210"/>
        <item x="72"/>
        <item x="143"/>
        <item x="211"/>
        <item x="144"/>
        <item x="145"/>
        <item x="212"/>
        <item x="213"/>
        <item x="248"/>
        <item x="146"/>
        <item x="147"/>
        <item x="214"/>
        <item x="215"/>
        <item x="216"/>
        <item x="73"/>
        <item x="217"/>
        <item x="218"/>
        <item x="148"/>
        <item x="249"/>
        <item x="110"/>
        <item x="219"/>
        <item x="111"/>
        <item m="1" x="251"/>
        <item t="default"/>
      </items>
    </pivotField>
    <pivotField showAll="0"/>
    <pivotField showAll="0"/>
    <pivotField axis="axisRow" showAll="0">
      <items count="6">
        <item x="2"/>
        <item x="3"/>
        <item x="1"/>
        <item x="0"/>
        <item m="1" x="4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D7688-8D8D-445A-A556-03B7A261A11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6" firstHeaderRow="0" firstDataRow="1" firstDataCol="1"/>
  <pivotFields count="21">
    <pivotField showAll="0"/>
    <pivotField numFmtId="164" showAll="0">
      <items count="253">
        <item x="149"/>
        <item x="0"/>
        <item x="1"/>
        <item x="2"/>
        <item x="150"/>
        <item x="3"/>
        <item x="151"/>
        <item x="112"/>
        <item x="152"/>
        <item x="220"/>
        <item x="4"/>
        <item x="221"/>
        <item x="5"/>
        <item x="113"/>
        <item x="6"/>
        <item x="153"/>
        <item x="74"/>
        <item x="7"/>
        <item x="154"/>
        <item x="222"/>
        <item x="155"/>
        <item x="223"/>
        <item x="75"/>
        <item x="224"/>
        <item x="225"/>
        <item x="8"/>
        <item x="76"/>
        <item x="156"/>
        <item x="9"/>
        <item x="10"/>
        <item x="157"/>
        <item x="11"/>
        <item x="226"/>
        <item x="158"/>
        <item x="159"/>
        <item x="12"/>
        <item x="114"/>
        <item x="115"/>
        <item x="116"/>
        <item x="160"/>
        <item x="13"/>
        <item x="14"/>
        <item x="15"/>
        <item x="117"/>
        <item x="16"/>
        <item x="17"/>
        <item x="118"/>
        <item x="18"/>
        <item x="77"/>
        <item x="78"/>
        <item x="227"/>
        <item x="79"/>
        <item x="161"/>
        <item x="162"/>
        <item x="228"/>
        <item x="119"/>
        <item x="163"/>
        <item x="164"/>
        <item x="80"/>
        <item x="229"/>
        <item x="230"/>
        <item x="120"/>
        <item x="165"/>
        <item x="19"/>
        <item x="81"/>
        <item x="20"/>
        <item x="166"/>
        <item x="82"/>
        <item x="167"/>
        <item x="168"/>
        <item x="169"/>
        <item x="21"/>
        <item x="170"/>
        <item x="22"/>
        <item x="23"/>
        <item x="83"/>
        <item x="171"/>
        <item x="24"/>
        <item x="172"/>
        <item x="84"/>
        <item x="25"/>
        <item x="26"/>
        <item x="231"/>
        <item x="121"/>
        <item x="173"/>
        <item x="174"/>
        <item x="27"/>
        <item x="175"/>
        <item x="28"/>
        <item x="85"/>
        <item x="176"/>
        <item x="29"/>
        <item x="232"/>
        <item x="177"/>
        <item x="30"/>
        <item x="233"/>
        <item x="178"/>
        <item x="86"/>
        <item x="87"/>
        <item x="179"/>
        <item x="31"/>
        <item x="88"/>
        <item x="122"/>
        <item x="32"/>
        <item x="123"/>
        <item x="33"/>
        <item x="234"/>
        <item x="34"/>
        <item x="89"/>
        <item x="90"/>
        <item x="35"/>
        <item x="180"/>
        <item x="91"/>
        <item x="181"/>
        <item x="182"/>
        <item x="36"/>
        <item x="183"/>
        <item x="37"/>
        <item x="38"/>
        <item x="235"/>
        <item x="184"/>
        <item x="39"/>
        <item x="236"/>
        <item x="185"/>
        <item x="92"/>
        <item x="186"/>
        <item x="124"/>
        <item x="93"/>
        <item x="187"/>
        <item x="40"/>
        <item x="188"/>
        <item x="41"/>
        <item x="94"/>
        <item x="95"/>
        <item x="42"/>
        <item x="237"/>
        <item x="43"/>
        <item x="189"/>
        <item x="125"/>
        <item x="126"/>
        <item x="238"/>
        <item x="127"/>
        <item x="96"/>
        <item x="190"/>
        <item x="44"/>
        <item x="45"/>
        <item x="128"/>
        <item x="46"/>
        <item x="47"/>
        <item x="48"/>
        <item x="239"/>
        <item x="97"/>
        <item x="49"/>
        <item x="50"/>
        <item x="129"/>
        <item x="51"/>
        <item x="130"/>
        <item x="131"/>
        <item x="240"/>
        <item x="191"/>
        <item x="52"/>
        <item x="241"/>
        <item x="53"/>
        <item x="54"/>
        <item x="55"/>
        <item x="56"/>
        <item x="192"/>
        <item x="193"/>
        <item x="98"/>
        <item x="194"/>
        <item x="99"/>
        <item x="132"/>
        <item x="195"/>
        <item x="196"/>
        <item x="100"/>
        <item x="57"/>
        <item x="58"/>
        <item x="133"/>
        <item x="101"/>
        <item x="197"/>
        <item x="102"/>
        <item x="59"/>
        <item x="103"/>
        <item x="134"/>
        <item x="242"/>
        <item x="243"/>
        <item x="198"/>
        <item x="199"/>
        <item x="60"/>
        <item x="135"/>
        <item x="61"/>
        <item x="62"/>
        <item x="63"/>
        <item x="244"/>
        <item x="64"/>
        <item x="104"/>
        <item x="105"/>
        <item x="65"/>
        <item x="245"/>
        <item x="200"/>
        <item x="136"/>
        <item x="246"/>
        <item x="66"/>
        <item x="67"/>
        <item x="137"/>
        <item x="68"/>
        <item x="201"/>
        <item x="69"/>
        <item x="202"/>
        <item x="106"/>
        <item x="107"/>
        <item x="138"/>
        <item x="250"/>
        <item x="139"/>
        <item x="247"/>
        <item x="140"/>
        <item x="203"/>
        <item x="70"/>
        <item x="204"/>
        <item x="141"/>
        <item x="205"/>
        <item x="108"/>
        <item x="206"/>
        <item x="71"/>
        <item x="109"/>
        <item x="207"/>
        <item x="208"/>
        <item x="142"/>
        <item x="209"/>
        <item x="210"/>
        <item x="72"/>
        <item x="143"/>
        <item x="211"/>
        <item x="144"/>
        <item x="145"/>
        <item x="212"/>
        <item x="213"/>
        <item x="248"/>
        <item x="146"/>
        <item x="147"/>
        <item x="214"/>
        <item x="215"/>
        <item x="216"/>
        <item x="73"/>
        <item x="217"/>
        <item x="218"/>
        <item x="148"/>
        <item x="249"/>
        <item x="110"/>
        <item x="219"/>
        <item x="111"/>
        <item m="1" x="2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dataField="1"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7" baseField="0" baseItem="0"/>
    <dataField name="Sum of Profit_ngn" fld="18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4086A-5558-4C3D-B9DD-C44AAF1378E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8:B73" firstHeaderRow="1" firstDataRow="1" firstDataCol="1"/>
  <pivotFields count="21">
    <pivotField dataField="1" showAll="0"/>
    <pivotField numFmtId="164" showAll="0">
      <items count="253">
        <item x="149"/>
        <item x="0"/>
        <item x="1"/>
        <item x="2"/>
        <item x="150"/>
        <item x="3"/>
        <item x="151"/>
        <item x="112"/>
        <item x="152"/>
        <item x="220"/>
        <item x="4"/>
        <item x="221"/>
        <item x="5"/>
        <item x="113"/>
        <item x="6"/>
        <item x="153"/>
        <item x="74"/>
        <item x="7"/>
        <item x="154"/>
        <item x="222"/>
        <item x="155"/>
        <item x="223"/>
        <item x="75"/>
        <item x="224"/>
        <item x="225"/>
        <item x="8"/>
        <item x="76"/>
        <item x="156"/>
        <item x="9"/>
        <item x="10"/>
        <item x="157"/>
        <item x="11"/>
        <item x="226"/>
        <item x="158"/>
        <item x="159"/>
        <item x="12"/>
        <item x="114"/>
        <item x="115"/>
        <item x="116"/>
        <item x="160"/>
        <item x="13"/>
        <item x="14"/>
        <item x="15"/>
        <item x="117"/>
        <item x="16"/>
        <item x="17"/>
        <item x="118"/>
        <item x="18"/>
        <item x="77"/>
        <item x="78"/>
        <item x="227"/>
        <item x="79"/>
        <item x="161"/>
        <item x="162"/>
        <item x="228"/>
        <item x="119"/>
        <item x="163"/>
        <item x="164"/>
        <item x="80"/>
        <item x="229"/>
        <item x="230"/>
        <item x="120"/>
        <item x="165"/>
        <item x="19"/>
        <item x="81"/>
        <item x="20"/>
        <item x="166"/>
        <item x="82"/>
        <item x="167"/>
        <item x="168"/>
        <item x="169"/>
        <item x="21"/>
        <item x="170"/>
        <item x="22"/>
        <item x="23"/>
        <item x="83"/>
        <item x="171"/>
        <item x="24"/>
        <item x="172"/>
        <item x="84"/>
        <item x="25"/>
        <item x="26"/>
        <item x="231"/>
        <item x="121"/>
        <item x="173"/>
        <item x="174"/>
        <item x="27"/>
        <item x="175"/>
        <item x="28"/>
        <item x="85"/>
        <item x="176"/>
        <item x="29"/>
        <item x="232"/>
        <item x="177"/>
        <item x="30"/>
        <item x="233"/>
        <item x="178"/>
        <item x="86"/>
        <item x="87"/>
        <item x="179"/>
        <item x="31"/>
        <item x="88"/>
        <item x="122"/>
        <item x="32"/>
        <item x="123"/>
        <item x="33"/>
        <item x="234"/>
        <item x="34"/>
        <item x="89"/>
        <item x="90"/>
        <item x="35"/>
        <item x="180"/>
        <item x="91"/>
        <item x="181"/>
        <item x="182"/>
        <item x="36"/>
        <item x="183"/>
        <item x="37"/>
        <item x="38"/>
        <item x="235"/>
        <item x="184"/>
        <item x="39"/>
        <item x="236"/>
        <item x="185"/>
        <item x="92"/>
        <item x="186"/>
        <item x="124"/>
        <item x="93"/>
        <item x="187"/>
        <item x="40"/>
        <item x="188"/>
        <item x="41"/>
        <item x="94"/>
        <item x="95"/>
        <item x="42"/>
        <item x="237"/>
        <item x="43"/>
        <item x="189"/>
        <item x="125"/>
        <item x="126"/>
        <item x="238"/>
        <item x="127"/>
        <item x="96"/>
        <item x="190"/>
        <item x="44"/>
        <item x="45"/>
        <item x="128"/>
        <item x="46"/>
        <item x="47"/>
        <item x="48"/>
        <item x="239"/>
        <item x="97"/>
        <item x="49"/>
        <item x="50"/>
        <item x="129"/>
        <item x="51"/>
        <item x="130"/>
        <item x="131"/>
        <item x="240"/>
        <item x="191"/>
        <item x="52"/>
        <item x="241"/>
        <item x="53"/>
        <item x="54"/>
        <item x="55"/>
        <item x="56"/>
        <item x="192"/>
        <item x="193"/>
        <item x="98"/>
        <item x="194"/>
        <item x="99"/>
        <item x="132"/>
        <item x="195"/>
        <item x="196"/>
        <item x="100"/>
        <item x="57"/>
        <item x="58"/>
        <item x="133"/>
        <item x="101"/>
        <item x="197"/>
        <item x="102"/>
        <item x="59"/>
        <item x="103"/>
        <item x="134"/>
        <item x="242"/>
        <item x="243"/>
        <item x="198"/>
        <item x="199"/>
        <item x="60"/>
        <item x="135"/>
        <item x="61"/>
        <item x="62"/>
        <item x="63"/>
        <item x="244"/>
        <item x="64"/>
        <item x="104"/>
        <item x="105"/>
        <item x="65"/>
        <item x="245"/>
        <item x="200"/>
        <item x="136"/>
        <item x="246"/>
        <item x="66"/>
        <item x="67"/>
        <item x="137"/>
        <item x="68"/>
        <item x="201"/>
        <item x="69"/>
        <item x="202"/>
        <item x="106"/>
        <item x="107"/>
        <item x="138"/>
        <item x="250"/>
        <item x="139"/>
        <item x="247"/>
        <item x="140"/>
        <item x="203"/>
        <item x="70"/>
        <item x="204"/>
        <item x="141"/>
        <item x="205"/>
        <item x="108"/>
        <item x="206"/>
        <item x="71"/>
        <item x="109"/>
        <item x="207"/>
        <item x="208"/>
        <item x="142"/>
        <item x="209"/>
        <item x="210"/>
        <item x="72"/>
        <item x="143"/>
        <item x="211"/>
        <item x="144"/>
        <item x="145"/>
        <item x="212"/>
        <item x="213"/>
        <item x="248"/>
        <item x="146"/>
        <item x="147"/>
        <item x="214"/>
        <item x="215"/>
        <item x="216"/>
        <item x="73"/>
        <item x="217"/>
        <item x="218"/>
        <item x="148"/>
        <item x="249"/>
        <item x="110"/>
        <item x="219"/>
        <item x="111"/>
        <item m="1" x="251"/>
        <item t="default"/>
      </items>
    </pivotField>
    <pivotField showAll="0"/>
    <pivotField showAll="0"/>
    <pivotField axis="axisRow" showAll="0">
      <items count="6">
        <item x="2"/>
        <item x="3"/>
        <item x="1"/>
        <item x="0"/>
        <item m="1" x="4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3D4C5-4D2E-4E1C-AB42-E3C5E7E3623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:B64" firstHeaderRow="1" firstDataRow="1" firstDataCol="1"/>
  <pivotFields count="21">
    <pivotField showAll="0"/>
    <pivotField numFmtId="164" showAll="0">
      <items count="253">
        <item x="149"/>
        <item x="0"/>
        <item x="1"/>
        <item x="2"/>
        <item x="150"/>
        <item x="3"/>
        <item x="151"/>
        <item x="112"/>
        <item x="152"/>
        <item x="220"/>
        <item x="4"/>
        <item x="221"/>
        <item x="5"/>
        <item x="113"/>
        <item x="6"/>
        <item x="153"/>
        <item x="74"/>
        <item x="7"/>
        <item x="154"/>
        <item x="222"/>
        <item x="155"/>
        <item x="223"/>
        <item x="75"/>
        <item x="224"/>
        <item x="225"/>
        <item x="8"/>
        <item x="76"/>
        <item x="156"/>
        <item x="9"/>
        <item x="10"/>
        <item x="157"/>
        <item x="11"/>
        <item x="226"/>
        <item x="158"/>
        <item x="159"/>
        <item x="12"/>
        <item x="114"/>
        <item x="115"/>
        <item x="116"/>
        <item x="160"/>
        <item x="13"/>
        <item x="14"/>
        <item x="15"/>
        <item x="117"/>
        <item x="16"/>
        <item x="17"/>
        <item x="118"/>
        <item x="18"/>
        <item x="77"/>
        <item x="78"/>
        <item x="227"/>
        <item x="79"/>
        <item x="161"/>
        <item x="162"/>
        <item x="228"/>
        <item x="119"/>
        <item x="163"/>
        <item x="164"/>
        <item x="80"/>
        <item x="229"/>
        <item x="230"/>
        <item x="120"/>
        <item x="165"/>
        <item x="19"/>
        <item x="81"/>
        <item x="20"/>
        <item x="166"/>
        <item x="82"/>
        <item x="167"/>
        <item x="168"/>
        <item x="169"/>
        <item x="21"/>
        <item x="170"/>
        <item x="22"/>
        <item x="23"/>
        <item x="83"/>
        <item x="171"/>
        <item x="24"/>
        <item x="172"/>
        <item x="84"/>
        <item x="25"/>
        <item x="26"/>
        <item x="231"/>
        <item x="121"/>
        <item x="173"/>
        <item x="174"/>
        <item x="27"/>
        <item x="175"/>
        <item x="28"/>
        <item x="85"/>
        <item x="176"/>
        <item x="29"/>
        <item x="232"/>
        <item x="177"/>
        <item x="30"/>
        <item x="233"/>
        <item x="178"/>
        <item x="86"/>
        <item x="87"/>
        <item x="179"/>
        <item x="31"/>
        <item x="88"/>
        <item x="122"/>
        <item x="32"/>
        <item x="123"/>
        <item x="33"/>
        <item x="234"/>
        <item x="34"/>
        <item x="89"/>
        <item x="90"/>
        <item x="35"/>
        <item x="180"/>
        <item x="91"/>
        <item x="181"/>
        <item x="182"/>
        <item x="36"/>
        <item x="183"/>
        <item x="37"/>
        <item x="38"/>
        <item x="235"/>
        <item x="184"/>
        <item x="39"/>
        <item x="236"/>
        <item x="185"/>
        <item x="92"/>
        <item x="186"/>
        <item x="124"/>
        <item x="93"/>
        <item x="187"/>
        <item x="40"/>
        <item x="188"/>
        <item x="41"/>
        <item x="94"/>
        <item x="95"/>
        <item x="42"/>
        <item x="237"/>
        <item x="43"/>
        <item x="189"/>
        <item x="125"/>
        <item x="126"/>
        <item x="238"/>
        <item x="127"/>
        <item x="96"/>
        <item x="190"/>
        <item x="44"/>
        <item x="45"/>
        <item x="128"/>
        <item x="46"/>
        <item x="47"/>
        <item x="48"/>
        <item x="239"/>
        <item x="97"/>
        <item x="49"/>
        <item x="50"/>
        <item x="129"/>
        <item x="51"/>
        <item x="130"/>
        <item x="131"/>
        <item x="240"/>
        <item x="191"/>
        <item x="52"/>
        <item x="241"/>
        <item x="53"/>
        <item x="54"/>
        <item x="55"/>
        <item x="56"/>
        <item x="192"/>
        <item x="193"/>
        <item x="98"/>
        <item x="194"/>
        <item x="99"/>
        <item x="132"/>
        <item x="195"/>
        <item x="196"/>
        <item x="100"/>
        <item x="57"/>
        <item x="58"/>
        <item x="133"/>
        <item x="101"/>
        <item x="197"/>
        <item x="102"/>
        <item x="59"/>
        <item x="103"/>
        <item x="134"/>
        <item x="242"/>
        <item x="243"/>
        <item x="198"/>
        <item x="199"/>
        <item x="60"/>
        <item x="135"/>
        <item x="61"/>
        <item x="62"/>
        <item x="63"/>
        <item x="244"/>
        <item x="64"/>
        <item x="104"/>
        <item x="105"/>
        <item x="65"/>
        <item x="245"/>
        <item x="200"/>
        <item x="136"/>
        <item x="246"/>
        <item x="66"/>
        <item x="67"/>
        <item x="137"/>
        <item x="68"/>
        <item x="201"/>
        <item x="69"/>
        <item x="202"/>
        <item x="106"/>
        <item x="107"/>
        <item x="138"/>
        <item x="250"/>
        <item x="139"/>
        <item x="247"/>
        <item x="140"/>
        <item x="203"/>
        <item x="70"/>
        <item x="204"/>
        <item x="141"/>
        <item x="205"/>
        <item x="108"/>
        <item x="206"/>
        <item x="71"/>
        <item x="109"/>
        <item x="207"/>
        <item x="208"/>
        <item x="142"/>
        <item x="209"/>
        <item x="210"/>
        <item x="72"/>
        <item x="143"/>
        <item x="211"/>
        <item x="144"/>
        <item x="145"/>
        <item x="212"/>
        <item x="213"/>
        <item x="248"/>
        <item x="146"/>
        <item x="147"/>
        <item x="214"/>
        <item x="215"/>
        <item x="216"/>
        <item x="73"/>
        <item x="217"/>
        <item x="218"/>
        <item x="148"/>
        <item x="249"/>
        <item x="110"/>
        <item x="219"/>
        <item x="111"/>
        <item m="1" x="2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axis="axisRow" showAll="0" measureFilter="1" sortType="descending">
      <items count="112">
        <item x="90"/>
        <item x="105"/>
        <item x="70"/>
        <item x="9"/>
        <item x="45"/>
        <item x="55"/>
        <item x="31"/>
        <item x="88"/>
        <item x="1"/>
        <item x="100"/>
        <item x="99"/>
        <item x="62"/>
        <item x="12"/>
        <item x="14"/>
        <item x="30"/>
        <item x="53"/>
        <item x="48"/>
        <item x="104"/>
        <item x="52"/>
        <item x="102"/>
        <item x="0"/>
        <item x="69"/>
        <item x="18"/>
        <item x="41"/>
        <item x="71"/>
        <item x="32"/>
        <item x="94"/>
        <item x="16"/>
        <item x="87"/>
        <item x="109"/>
        <item x="33"/>
        <item x="23"/>
        <item x="76"/>
        <item x="83"/>
        <item x="75"/>
        <item x="63"/>
        <item x="7"/>
        <item x="29"/>
        <item x="66"/>
        <item x="79"/>
        <item x="22"/>
        <item x="82"/>
        <item x="27"/>
        <item x="47"/>
        <item x="2"/>
        <item x="15"/>
        <item x="36"/>
        <item x="98"/>
        <item x="93"/>
        <item x="89"/>
        <item x="72"/>
        <item x="81"/>
        <item x="40"/>
        <item x="4"/>
        <item x="107"/>
        <item x="35"/>
        <item x="20"/>
        <item x="39"/>
        <item x="6"/>
        <item x="67"/>
        <item x="54"/>
        <item x="57"/>
        <item x="11"/>
        <item x="80"/>
        <item x="103"/>
        <item x="43"/>
        <item x="49"/>
        <item x="108"/>
        <item x="65"/>
        <item x="21"/>
        <item x="74"/>
        <item x="61"/>
        <item x="77"/>
        <item x="42"/>
        <item x="10"/>
        <item x="59"/>
        <item x="28"/>
        <item x="101"/>
        <item x="19"/>
        <item x="96"/>
        <item x="34"/>
        <item x="51"/>
        <item x="86"/>
        <item x="85"/>
        <item x="38"/>
        <item x="37"/>
        <item x="56"/>
        <item x="26"/>
        <item x="58"/>
        <item x="5"/>
        <item x="92"/>
        <item x="97"/>
        <item x="3"/>
        <item x="64"/>
        <item x="106"/>
        <item x="25"/>
        <item x="44"/>
        <item x="60"/>
        <item x="8"/>
        <item x="24"/>
        <item x="17"/>
        <item x="91"/>
        <item x="95"/>
        <item x="46"/>
        <item x="110"/>
        <item x="50"/>
        <item x="13"/>
        <item x="78"/>
        <item x="68"/>
        <item x="84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5"/>
  </rowFields>
  <rowItems count="11">
    <i>
      <x v="13"/>
    </i>
    <i>
      <x v="8"/>
    </i>
    <i>
      <x v="109"/>
    </i>
    <i>
      <x v="87"/>
    </i>
    <i>
      <x v="61"/>
    </i>
    <i>
      <x v="75"/>
    </i>
    <i>
      <x v="44"/>
    </i>
    <i>
      <x v="48"/>
    </i>
    <i>
      <x v="69"/>
    </i>
    <i>
      <x v="27"/>
    </i>
    <i t="grand">
      <x/>
    </i>
  </rowItems>
  <colItems count="1">
    <i/>
  </colItems>
  <dataFields count="1">
    <dataField name="Sum of revenue" fld="17" baseField="0" baseItem="0" numFmtId="168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20AD3-A2E6-4A6B-853F-6C4977DDF82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6:B49" firstHeaderRow="1" firstDataRow="1" firstDataCol="1"/>
  <pivotFields count="21">
    <pivotField showAll="0"/>
    <pivotField numFmtId="164" showAll="0">
      <items count="253">
        <item x="149"/>
        <item x="0"/>
        <item x="1"/>
        <item x="2"/>
        <item x="150"/>
        <item x="3"/>
        <item x="151"/>
        <item x="112"/>
        <item x="152"/>
        <item x="220"/>
        <item x="4"/>
        <item x="221"/>
        <item x="5"/>
        <item x="113"/>
        <item x="6"/>
        <item x="153"/>
        <item x="74"/>
        <item x="7"/>
        <item x="154"/>
        <item x="222"/>
        <item x="155"/>
        <item x="223"/>
        <item x="75"/>
        <item x="224"/>
        <item x="225"/>
        <item x="8"/>
        <item x="76"/>
        <item x="156"/>
        <item x="9"/>
        <item x="10"/>
        <item x="157"/>
        <item x="11"/>
        <item x="226"/>
        <item x="158"/>
        <item x="159"/>
        <item x="12"/>
        <item x="114"/>
        <item x="115"/>
        <item x="116"/>
        <item x="160"/>
        <item x="13"/>
        <item x="14"/>
        <item x="15"/>
        <item x="117"/>
        <item x="16"/>
        <item x="17"/>
        <item x="118"/>
        <item x="18"/>
        <item x="77"/>
        <item x="78"/>
        <item x="227"/>
        <item x="79"/>
        <item x="161"/>
        <item x="162"/>
        <item x="228"/>
        <item x="119"/>
        <item x="163"/>
        <item x="164"/>
        <item x="80"/>
        <item x="229"/>
        <item x="230"/>
        <item x="120"/>
        <item x="165"/>
        <item x="19"/>
        <item x="81"/>
        <item x="20"/>
        <item x="166"/>
        <item x="82"/>
        <item x="167"/>
        <item x="168"/>
        <item x="169"/>
        <item x="21"/>
        <item x="170"/>
        <item x="22"/>
        <item x="23"/>
        <item x="83"/>
        <item x="171"/>
        <item x="24"/>
        <item x="172"/>
        <item x="84"/>
        <item x="25"/>
        <item x="26"/>
        <item x="231"/>
        <item x="121"/>
        <item x="173"/>
        <item x="174"/>
        <item x="27"/>
        <item x="175"/>
        <item x="28"/>
        <item x="85"/>
        <item x="176"/>
        <item x="29"/>
        <item x="232"/>
        <item x="177"/>
        <item x="30"/>
        <item x="233"/>
        <item x="178"/>
        <item x="86"/>
        <item x="87"/>
        <item x="179"/>
        <item x="31"/>
        <item x="88"/>
        <item x="122"/>
        <item x="32"/>
        <item x="123"/>
        <item x="33"/>
        <item x="234"/>
        <item x="34"/>
        <item x="89"/>
        <item x="90"/>
        <item x="35"/>
        <item x="180"/>
        <item x="91"/>
        <item x="181"/>
        <item x="182"/>
        <item x="36"/>
        <item x="183"/>
        <item x="37"/>
        <item x="38"/>
        <item x="235"/>
        <item x="184"/>
        <item x="39"/>
        <item x="236"/>
        <item x="185"/>
        <item x="92"/>
        <item x="186"/>
        <item x="124"/>
        <item x="93"/>
        <item x="187"/>
        <item x="40"/>
        <item x="188"/>
        <item x="41"/>
        <item x="94"/>
        <item x="95"/>
        <item x="42"/>
        <item x="237"/>
        <item x="43"/>
        <item x="189"/>
        <item x="125"/>
        <item x="126"/>
        <item x="238"/>
        <item x="127"/>
        <item x="96"/>
        <item x="190"/>
        <item x="44"/>
        <item x="45"/>
        <item x="128"/>
        <item x="46"/>
        <item x="47"/>
        <item x="48"/>
        <item x="239"/>
        <item x="97"/>
        <item x="49"/>
        <item x="50"/>
        <item x="129"/>
        <item x="51"/>
        <item x="130"/>
        <item x="131"/>
        <item x="240"/>
        <item x="191"/>
        <item x="52"/>
        <item x="241"/>
        <item x="53"/>
        <item x="54"/>
        <item x="55"/>
        <item x="56"/>
        <item x="192"/>
        <item x="193"/>
        <item x="98"/>
        <item x="194"/>
        <item x="99"/>
        <item x="132"/>
        <item x="195"/>
        <item x="196"/>
        <item x="100"/>
        <item x="57"/>
        <item x="58"/>
        <item x="133"/>
        <item x="101"/>
        <item x="197"/>
        <item x="102"/>
        <item x="59"/>
        <item x="103"/>
        <item x="134"/>
        <item x="242"/>
        <item x="243"/>
        <item x="198"/>
        <item x="199"/>
        <item x="60"/>
        <item x="135"/>
        <item x="61"/>
        <item x="62"/>
        <item x="63"/>
        <item x="244"/>
        <item x="64"/>
        <item x="104"/>
        <item x="105"/>
        <item x="65"/>
        <item x="245"/>
        <item x="200"/>
        <item x="136"/>
        <item x="246"/>
        <item x="66"/>
        <item x="67"/>
        <item x="137"/>
        <item x="68"/>
        <item x="201"/>
        <item x="69"/>
        <item x="202"/>
        <item x="106"/>
        <item x="107"/>
        <item x="138"/>
        <item x="250"/>
        <item x="139"/>
        <item x="247"/>
        <item x="140"/>
        <item x="203"/>
        <item x="70"/>
        <item x="204"/>
        <item x="141"/>
        <item x="205"/>
        <item x="108"/>
        <item x="206"/>
        <item x="71"/>
        <item x="109"/>
        <item x="207"/>
        <item x="208"/>
        <item x="142"/>
        <item x="209"/>
        <item x="210"/>
        <item x="72"/>
        <item x="143"/>
        <item x="211"/>
        <item x="144"/>
        <item x="145"/>
        <item x="212"/>
        <item x="213"/>
        <item x="248"/>
        <item x="146"/>
        <item x="147"/>
        <item x="214"/>
        <item x="215"/>
        <item x="216"/>
        <item x="73"/>
        <item x="217"/>
        <item x="218"/>
        <item x="148"/>
        <item x="249"/>
        <item x="110"/>
        <item x="219"/>
        <item x="111"/>
        <item m="1" x="2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7" baseField="0" baseItem="0" numFmtId="168"/>
  </dataFields>
  <formats count="1">
    <format dxfId="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27F13-36FE-4F9D-8CA1-6D66A2DA99A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1:B32" firstHeaderRow="1" firstDataRow="1" firstDataCol="1"/>
  <pivotFields count="21">
    <pivotField showAll="0"/>
    <pivotField numFmtId="164" showAll="0">
      <items count="253">
        <item x="149"/>
        <item x="0"/>
        <item x="1"/>
        <item x="2"/>
        <item x="150"/>
        <item x="3"/>
        <item x="151"/>
        <item x="112"/>
        <item x="152"/>
        <item x="220"/>
        <item x="4"/>
        <item x="221"/>
        <item x="5"/>
        <item x="113"/>
        <item x="6"/>
        <item x="153"/>
        <item x="74"/>
        <item x="7"/>
        <item x="154"/>
        <item x="222"/>
        <item x="155"/>
        <item x="223"/>
        <item x="75"/>
        <item x="224"/>
        <item x="225"/>
        <item x="8"/>
        <item x="76"/>
        <item x="156"/>
        <item x="9"/>
        <item x="10"/>
        <item x="157"/>
        <item x="11"/>
        <item x="226"/>
        <item x="158"/>
        <item x="159"/>
        <item x="12"/>
        <item x="114"/>
        <item x="115"/>
        <item x="116"/>
        <item x="160"/>
        <item x="13"/>
        <item x="14"/>
        <item x="15"/>
        <item x="117"/>
        <item x="16"/>
        <item x="17"/>
        <item x="118"/>
        <item x="18"/>
        <item x="77"/>
        <item x="78"/>
        <item x="227"/>
        <item x="79"/>
        <item x="161"/>
        <item x="162"/>
        <item x="228"/>
        <item x="119"/>
        <item x="163"/>
        <item x="164"/>
        <item x="80"/>
        <item x="229"/>
        <item x="230"/>
        <item x="120"/>
        <item x="165"/>
        <item x="19"/>
        <item x="81"/>
        <item x="20"/>
        <item x="166"/>
        <item x="82"/>
        <item x="167"/>
        <item x="168"/>
        <item x="169"/>
        <item x="21"/>
        <item x="170"/>
        <item x="22"/>
        <item x="23"/>
        <item x="83"/>
        <item x="171"/>
        <item x="24"/>
        <item x="172"/>
        <item x="84"/>
        <item x="25"/>
        <item x="26"/>
        <item x="231"/>
        <item x="121"/>
        <item x="173"/>
        <item x="174"/>
        <item x="27"/>
        <item x="175"/>
        <item x="28"/>
        <item x="85"/>
        <item x="176"/>
        <item x="29"/>
        <item x="232"/>
        <item x="177"/>
        <item x="30"/>
        <item x="233"/>
        <item x="178"/>
        <item x="86"/>
        <item x="87"/>
        <item x="179"/>
        <item x="31"/>
        <item x="88"/>
        <item x="122"/>
        <item x="32"/>
        <item x="123"/>
        <item x="33"/>
        <item x="234"/>
        <item x="34"/>
        <item x="89"/>
        <item x="90"/>
        <item x="35"/>
        <item x="180"/>
        <item x="91"/>
        <item x="181"/>
        <item x="182"/>
        <item x="36"/>
        <item x="183"/>
        <item x="37"/>
        <item x="38"/>
        <item x="235"/>
        <item x="184"/>
        <item x="39"/>
        <item x="236"/>
        <item x="185"/>
        <item x="92"/>
        <item x="186"/>
        <item x="124"/>
        <item x="93"/>
        <item x="187"/>
        <item x="40"/>
        <item x="188"/>
        <item x="41"/>
        <item x="94"/>
        <item x="95"/>
        <item x="42"/>
        <item x="237"/>
        <item x="43"/>
        <item x="189"/>
        <item x="125"/>
        <item x="126"/>
        <item x="238"/>
        <item x="127"/>
        <item x="96"/>
        <item x="190"/>
        <item x="44"/>
        <item x="45"/>
        <item x="128"/>
        <item x="46"/>
        <item x="47"/>
        <item x="48"/>
        <item x="239"/>
        <item x="97"/>
        <item x="49"/>
        <item x="50"/>
        <item x="129"/>
        <item x="51"/>
        <item x="130"/>
        <item x="131"/>
        <item x="240"/>
        <item x="191"/>
        <item x="52"/>
        <item x="241"/>
        <item x="53"/>
        <item x="54"/>
        <item x="55"/>
        <item x="56"/>
        <item x="192"/>
        <item x="193"/>
        <item x="98"/>
        <item x="194"/>
        <item x="99"/>
        <item x="132"/>
        <item x="195"/>
        <item x="196"/>
        <item x="100"/>
        <item x="57"/>
        <item x="58"/>
        <item x="133"/>
        <item x="101"/>
        <item x="197"/>
        <item x="102"/>
        <item x="59"/>
        <item x="103"/>
        <item x="134"/>
        <item x="242"/>
        <item x="243"/>
        <item x="198"/>
        <item x="199"/>
        <item x="60"/>
        <item x="135"/>
        <item x="61"/>
        <item x="62"/>
        <item x="63"/>
        <item x="244"/>
        <item x="64"/>
        <item x="104"/>
        <item x="105"/>
        <item x="65"/>
        <item x="245"/>
        <item x="200"/>
        <item x="136"/>
        <item x="246"/>
        <item x="66"/>
        <item x="67"/>
        <item x="137"/>
        <item x="68"/>
        <item x="201"/>
        <item x="69"/>
        <item x="202"/>
        <item x="106"/>
        <item x="107"/>
        <item x="138"/>
        <item x="250"/>
        <item x="139"/>
        <item x="247"/>
        <item x="140"/>
        <item x="203"/>
        <item x="70"/>
        <item x="204"/>
        <item x="141"/>
        <item x="205"/>
        <item x="108"/>
        <item x="206"/>
        <item x="71"/>
        <item x="109"/>
        <item x="207"/>
        <item x="208"/>
        <item x="142"/>
        <item x="209"/>
        <item x="210"/>
        <item x="72"/>
        <item x="143"/>
        <item x="211"/>
        <item x="144"/>
        <item x="145"/>
        <item x="212"/>
        <item x="213"/>
        <item x="248"/>
        <item x="146"/>
        <item x="147"/>
        <item x="214"/>
        <item x="215"/>
        <item x="216"/>
        <item x="73"/>
        <item x="217"/>
        <item x="218"/>
        <item x="148"/>
        <item x="249"/>
        <item x="110"/>
        <item x="219"/>
        <item x="111"/>
        <item m="1" x="251"/>
        <item t="default"/>
      </items>
    </pivotField>
    <pivotField showAll="0"/>
    <pivotField showAll="0"/>
    <pivotField showAll="0"/>
    <pivotField axis="axisRow" showAll="0" measureFilter="1" sortType="descending">
      <items count="14">
        <item x="2"/>
        <item x="1"/>
        <item x="5"/>
        <item x="3"/>
        <item x="6"/>
        <item x="10"/>
        <item x="11"/>
        <item x="0"/>
        <item x="8"/>
        <item x="7"/>
        <item x="4"/>
        <item x="9"/>
        <item m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1">
    <i>
      <x v="1"/>
    </i>
    <i>
      <x v="10"/>
    </i>
    <i>
      <x v="9"/>
    </i>
    <i>
      <x v="11"/>
    </i>
    <i>
      <x v="5"/>
    </i>
    <i>
      <x v="6"/>
    </i>
    <i>
      <x v="3"/>
    </i>
    <i>
      <x v="2"/>
    </i>
    <i>
      <x v="8"/>
    </i>
    <i>
      <x/>
    </i>
    <i t="grand">
      <x/>
    </i>
  </rowItems>
  <colItems count="1">
    <i/>
  </colItems>
  <dataFields count="1">
    <dataField name="Sum of Profit_ngn" fld="18" baseField="0" baseItem="0" numFmtId="168"/>
  </dataFields>
  <formats count="1">
    <format dxfId="3">
      <pivotArea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C2271-CD8D-4EF7-A2E4-FB812C9699B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:H17" firstHeaderRow="1" firstDataRow="2" firstDataCol="1"/>
  <pivotFields count="21">
    <pivotField showAll="0"/>
    <pivotField numFmtId="164" showAll="0">
      <items count="253">
        <item x="149"/>
        <item x="0"/>
        <item x="1"/>
        <item x="2"/>
        <item x="150"/>
        <item x="3"/>
        <item x="151"/>
        <item x="112"/>
        <item x="152"/>
        <item x="220"/>
        <item x="4"/>
        <item x="221"/>
        <item x="5"/>
        <item x="113"/>
        <item x="6"/>
        <item x="153"/>
        <item x="74"/>
        <item x="7"/>
        <item x="154"/>
        <item x="222"/>
        <item x="155"/>
        <item x="223"/>
        <item x="75"/>
        <item x="224"/>
        <item x="225"/>
        <item x="8"/>
        <item x="76"/>
        <item x="156"/>
        <item x="9"/>
        <item x="10"/>
        <item x="157"/>
        <item x="11"/>
        <item x="226"/>
        <item x="158"/>
        <item x="159"/>
        <item x="12"/>
        <item x="114"/>
        <item x="115"/>
        <item x="116"/>
        <item x="160"/>
        <item x="13"/>
        <item x="14"/>
        <item x="15"/>
        <item x="117"/>
        <item x="16"/>
        <item x="17"/>
        <item x="118"/>
        <item x="18"/>
        <item x="77"/>
        <item x="78"/>
        <item x="227"/>
        <item x="79"/>
        <item x="161"/>
        <item x="162"/>
        <item x="228"/>
        <item x="119"/>
        <item x="163"/>
        <item x="164"/>
        <item x="80"/>
        <item x="229"/>
        <item x="230"/>
        <item x="120"/>
        <item x="165"/>
        <item x="19"/>
        <item x="81"/>
        <item x="20"/>
        <item x="166"/>
        <item x="82"/>
        <item x="167"/>
        <item x="168"/>
        <item x="169"/>
        <item x="21"/>
        <item x="170"/>
        <item x="22"/>
        <item x="23"/>
        <item x="83"/>
        <item x="171"/>
        <item x="24"/>
        <item x="172"/>
        <item x="84"/>
        <item x="25"/>
        <item x="26"/>
        <item x="231"/>
        <item x="121"/>
        <item x="173"/>
        <item x="174"/>
        <item x="27"/>
        <item x="175"/>
        <item x="28"/>
        <item x="85"/>
        <item x="176"/>
        <item x="29"/>
        <item x="232"/>
        <item x="177"/>
        <item x="30"/>
        <item x="233"/>
        <item x="178"/>
        <item x="86"/>
        <item x="87"/>
        <item x="179"/>
        <item x="31"/>
        <item x="88"/>
        <item x="122"/>
        <item x="32"/>
        <item x="123"/>
        <item x="33"/>
        <item x="234"/>
        <item x="34"/>
        <item x="89"/>
        <item x="90"/>
        <item x="35"/>
        <item x="180"/>
        <item x="91"/>
        <item x="181"/>
        <item x="182"/>
        <item x="36"/>
        <item x="183"/>
        <item x="37"/>
        <item x="38"/>
        <item x="235"/>
        <item x="184"/>
        <item x="39"/>
        <item x="236"/>
        <item x="185"/>
        <item x="92"/>
        <item x="186"/>
        <item x="124"/>
        <item x="93"/>
        <item x="187"/>
        <item x="40"/>
        <item x="188"/>
        <item x="41"/>
        <item x="94"/>
        <item x="95"/>
        <item x="42"/>
        <item x="237"/>
        <item x="43"/>
        <item x="189"/>
        <item x="125"/>
        <item x="126"/>
        <item x="238"/>
        <item x="127"/>
        <item x="96"/>
        <item x="190"/>
        <item x="44"/>
        <item x="45"/>
        <item x="128"/>
        <item x="46"/>
        <item x="47"/>
        <item x="48"/>
        <item x="239"/>
        <item x="97"/>
        <item x="49"/>
        <item x="50"/>
        <item x="129"/>
        <item x="51"/>
        <item x="130"/>
        <item x="131"/>
        <item x="240"/>
        <item x="191"/>
        <item x="52"/>
        <item x="241"/>
        <item x="53"/>
        <item x="54"/>
        <item x="55"/>
        <item x="56"/>
        <item x="192"/>
        <item x="193"/>
        <item x="98"/>
        <item x="194"/>
        <item x="99"/>
        <item x="132"/>
        <item x="195"/>
        <item x="196"/>
        <item x="100"/>
        <item x="57"/>
        <item x="58"/>
        <item x="133"/>
        <item x="101"/>
        <item x="197"/>
        <item x="102"/>
        <item x="59"/>
        <item x="103"/>
        <item x="134"/>
        <item x="242"/>
        <item x="243"/>
        <item x="198"/>
        <item x="199"/>
        <item x="60"/>
        <item x="135"/>
        <item x="61"/>
        <item x="62"/>
        <item x="63"/>
        <item x="244"/>
        <item x="64"/>
        <item x="104"/>
        <item x="105"/>
        <item x="65"/>
        <item x="245"/>
        <item x="200"/>
        <item x="136"/>
        <item x="246"/>
        <item x="66"/>
        <item x="67"/>
        <item x="137"/>
        <item x="68"/>
        <item x="201"/>
        <item x="69"/>
        <item x="202"/>
        <item x="106"/>
        <item x="107"/>
        <item x="138"/>
        <item x="250"/>
        <item x="139"/>
        <item x="247"/>
        <item x="140"/>
        <item x="203"/>
        <item x="70"/>
        <item x="204"/>
        <item x="141"/>
        <item x="205"/>
        <item x="108"/>
        <item x="206"/>
        <item x="71"/>
        <item x="109"/>
        <item x="207"/>
        <item x="208"/>
        <item x="142"/>
        <item x="209"/>
        <item x="210"/>
        <item x="72"/>
        <item x="143"/>
        <item x="211"/>
        <item x="144"/>
        <item x="145"/>
        <item x="212"/>
        <item x="213"/>
        <item x="248"/>
        <item x="146"/>
        <item x="147"/>
        <item x="214"/>
        <item x="215"/>
        <item x="216"/>
        <item x="73"/>
        <item x="217"/>
        <item x="218"/>
        <item x="148"/>
        <item x="249"/>
        <item x="110"/>
        <item x="219"/>
        <item x="111"/>
        <item m="1" x="251"/>
        <item t="default"/>
      </items>
    </pivotField>
    <pivotField axis="axisRow" showAll="0">
      <items count="7">
        <item x="0"/>
        <item x="1"/>
        <item x="2"/>
        <item x="3"/>
        <item x="4"/>
        <item m="1" x="5"/>
        <item t="default"/>
      </items>
    </pivotField>
    <pivotField showAll="0"/>
    <pivotField showAll="0"/>
    <pivotField showAll="0"/>
    <pivotField axis="axisCol" showAll="0">
      <items count="8">
        <item x="4"/>
        <item x="5"/>
        <item x="1"/>
        <item x="0"/>
        <item x="3"/>
        <item x="2"/>
        <item m="1" x="6"/>
        <item t="default"/>
      </items>
    </pivotField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" fld="17" baseField="0" baseItem="0" numFmtId="168"/>
  </dataFields>
  <formats count="1">
    <format dxfId="4">
      <pivotArea outline="0" collapsedLevelsAreSubtotals="1" fieldPosition="0"/>
    </format>
  </formats>
  <chartFormats count="8"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E8A65-5C79-471C-95A7-B2171A57EF48}" name="Cust" displayName="Cust" ref="A1:L121" totalsRowShown="0" headerRowDxfId="43" dataDxfId="42" tableBorderDxfId="41">
  <autoFilter ref="A1:L121" xr:uid="{1C9E8A65-5C79-471C-95A7-B2171A57EF48}"/>
  <tableColumns count="12">
    <tableColumn id="1" xr3:uid="{68D283AB-19F4-4840-9189-E8BD884B3AEF}" name="customer_id" dataDxfId="40"/>
    <tableColumn id="2" xr3:uid="{1FD1FC70-0584-443A-9225-5F1DB18FDF08}" name="first_name" dataDxfId="39"/>
    <tableColumn id="3" xr3:uid="{75DCA8F4-980F-4169-B20A-451FC0226DC3}" name="last_name" dataDxfId="38"/>
    <tableColumn id="4" xr3:uid="{34AFF168-B9B9-4AAE-84E5-20D7488776BD}" name="customer_name" dataDxfId="37"/>
    <tableColumn id="5" xr3:uid="{CA9218F1-FC35-4B91-B229-CF5338D0FA20}" name="email" dataDxfId="36"/>
    <tableColumn id="6" xr3:uid="{A033FB10-BB57-42AF-B54B-8E371836ED12}" name="phone" dataDxfId="35"/>
    <tableColumn id="7" xr3:uid="{B0B7F7BD-90D1-4376-96C5-FA39A849096A}" name="city" dataDxfId="34"/>
    <tableColumn id="8" xr3:uid="{6B34B5E7-8FE4-4113-A967-16EE1D1A7D14}" name="state" dataDxfId="33"/>
    <tableColumn id="9" xr3:uid="{C70A67BD-C497-4107-9419-D5C83FA0AF40}" name="signup_date" dataDxfId="32"/>
    <tableColumn id="10" xr3:uid="{684A71FF-6919-4F8A-9D19-87DEA00E23E0}" name="segment" dataDxfId="31"/>
    <tableColumn id="11" xr3:uid="{FE770BE0-1E44-4E65-A006-9E929D323A72}" name="credit_limit_ngn" dataDxfId="30"/>
    <tableColumn id="12" xr3:uid="{69A43E08-FE10-491F-A165-5D129CF3612B}" name="customers_orders" dataDxfId="29">
      <calculatedColumnFormula>COUNTIF(Sales[customer_id],Cust[[#This Row],[customer_id]])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3C371-9B9B-4159-90EA-3550EC94791C}" name="Sales" displayName="Sales" ref="A1:T407" totalsRowShown="0" headerRowDxfId="28" dataDxfId="27" tableBorderDxfId="26">
  <autoFilter ref="A1:T407" xr:uid="{F603C371-9B9B-4159-90EA-3550EC94791C}"/>
  <sortState xmlns:xlrd2="http://schemas.microsoft.com/office/spreadsheetml/2017/richdata2" ref="A2:S407">
    <sortCondition ref="O1:O407"/>
  </sortState>
  <tableColumns count="20">
    <tableColumn id="1" xr3:uid="{1033C2EA-EDF3-4DC3-88C8-E34CF0743C7F}" name="order_id" dataDxfId="25"/>
    <tableColumn id="2" xr3:uid="{E69DBABE-8D3A-4B35-A166-EE1070ACD995}" name="order_date" dataDxfId="24"/>
    <tableColumn id="3" xr3:uid="{5B9A5E2C-4C32-4116-A69F-65347863D11F}" name="region" dataDxfId="23"/>
    <tableColumn id="4" xr3:uid="{40FF7AA0-D3AB-4B44-BA52-4C98506A4785}" name="sales_rep" dataDxfId="22"/>
    <tableColumn id="5" xr3:uid="{09A929F8-5BB9-4F2D-9689-079B343D6AE2}" name="channel" dataDxfId="21"/>
    <tableColumn id="6" xr3:uid="{6165B970-4578-40FA-AF1F-B709471B15F4}" name="product" dataDxfId="20"/>
    <tableColumn id="7" xr3:uid="{A937B5DC-DF36-4DCD-B4ED-A9D0429F5159}" name="category" dataDxfId="19"/>
    <tableColumn id="8" xr3:uid="{1875F4B3-C2ED-4B1A-813C-9A2593AF1550}" name="quantity" dataDxfId="18"/>
    <tableColumn id="9" xr3:uid="{44971DCD-82AE-4F05-AF55-A32FF3F0E30F}" name="unit_price_ngn" dataDxfId="17"/>
    <tableColumn id="10" xr3:uid="{A324949E-6344-4F48-A7D3-150933A564BD}" name="unit_cost_ngn" dataDxfId="16"/>
    <tableColumn id="11" xr3:uid="{36DAB079-871A-44CE-AD9B-A6E6CF7E3A5B}" name="discount_pct" dataDxfId="15"/>
    <tableColumn id="12" xr3:uid="{13488397-053A-4F6B-9939-3E8B807D30D3}" name="delivery_days" dataDxfId="14"/>
    <tableColumn id="13" xr3:uid="{22F05706-FD1E-4734-B103-BC70B7229D28}" name="customer_id" dataDxfId="13"/>
    <tableColumn id="15" xr3:uid="{C127B9F3-62E1-4748-8B80-10450907EA59}" name="credit_limit_ngn" dataDxfId="12">
      <calculatedColumnFormula>_xlfn.IFNA(VLOOKUP(Sales[customer_id],Cust[],11,FALSE),"Unknown")</calculatedColumnFormula>
    </tableColumn>
    <tableColumn id="16" xr3:uid="{C8D855EA-D0EE-44E2-930B-D33809D250D3}" name="city" dataDxfId="11">
      <calculatedColumnFormula>_xlfn.IFNA(VLOOKUP(Sales[customer_id], Cust[], 7,FALSE),"Unknown customer")</calculatedColumnFormula>
    </tableColumn>
    <tableColumn id="17" xr3:uid="{EB50DBC1-13DD-4019-9558-D770D1D5DD17}" name="customer_name" dataDxfId="10">
      <calculatedColumnFormula>_xlfn.IFNA(VLOOKUP(Sales[[#This Row],[customer_id]],Cust[],4, FALSE),"Unknown customer")</calculatedColumnFormula>
    </tableColumn>
    <tableColumn id="18" xr3:uid="{E721B027-3E30-4601-9153-CD5C88219B82}" name="segment" dataDxfId="9">
      <calculatedColumnFormula>_xlfn.IFNA(VLOOKUP(Sales[[#This Row],[customer_id]], Cust[], 10, FALSE), "Unknown customer")</calculatedColumnFormula>
    </tableColumn>
    <tableColumn id="19" xr3:uid="{BEA3FD0E-D36B-4BC1-A7FC-752ACA2D4EB4}" name="revenue" dataDxfId="8">
      <calculatedColumnFormula>SUM(Sales[quantity]*Sales[[#This Row],[unit_price_ngn]]*(1-Sales[[#This Row],[discount_pct]]))</calculatedColumnFormula>
    </tableColumn>
    <tableColumn id="20" xr3:uid="{B2DA50FF-DAA4-4566-9567-66425F50CECA}" name="Profit_ngn" dataDxfId="7">
      <calculatedColumnFormula>Sales[[#This Row],[revenue]]-(Sales[[#This Row],[quantity]]*Sales[[#This Row],[unit_cost_ngn]])</calculatedColumnFormula>
    </tableColumn>
    <tableColumn id="14" xr3:uid="{9463EC95-C648-495A-AF8E-0DE0B9C9593D}" name="Month" dataDxfId="6">
      <calculatedColumnFormula>TEXT(Sales[order_date], "yyyy-mm")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036B8E-677C-473B-BB6B-BF68D8E593B7}" name="Table3" displayName="Table3" ref="A1:S204" totalsRowShown="0">
  <autoFilter ref="A1:S204" xr:uid="{97036B8E-677C-473B-BB6B-BF68D8E593B7}"/>
  <tableColumns count="19">
    <tableColumn id="1" xr3:uid="{C2BCF844-4A4F-4015-847D-62E3FFAD2AD2}" name="order_id"/>
    <tableColumn id="2" xr3:uid="{5B60F3B4-0AA6-4AD7-9D78-E1D984D5C8FD}" name="order_date" dataDxfId="5"/>
    <tableColumn id="3" xr3:uid="{B51F8FA0-1AA5-425E-8A5E-1B883353FCF3}" name="region"/>
    <tableColumn id="4" xr3:uid="{5ED8F949-AC37-4355-92B2-A14C42B3B8B6}" name="sales_rep"/>
    <tableColumn id="5" xr3:uid="{E00A1927-4EB1-4045-B93C-C7F21811CB63}" name="channel"/>
    <tableColumn id="6" xr3:uid="{0865E418-38D6-4849-9B31-4B4B77F0F4B3}" name="product"/>
    <tableColumn id="7" xr3:uid="{751606B9-9F6B-46A8-8F4B-EB28963D2935}" name="category"/>
    <tableColumn id="8" xr3:uid="{6F33B738-D84E-4428-B36B-22B2899A0FBB}" name="quantity"/>
    <tableColumn id="9" xr3:uid="{E7BDF140-D127-45D8-93AE-A5A55B8ED033}" name="unit_price_ngn"/>
    <tableColumn id="10" xr3:uid="{2566EAFA-103D-4020-AA31-0ED8F799ADED}" name="unit_cost_ngn"/>
    <tableColumn id="11" xr3:uid="{6E441FF0-2E22-4F10-9EC1-4724906C5526}" name="discount_pct"/>
    <tableColumn id="12" xr3:uid="{68EEF3DB-7A9C-42EB-81A0-835F2BA76B74}" name="delivery_days"/>
    <tableColumn id="13" xr3:uid="{9EA7F8E4-5E7D-482C-9AB7-0CFACE420B01}" name="customer_id"/>
    <tableColumn id="14" xr3:uid="{C4F37AAF-6C4F-4EC4-AA49-38001B718A65}" name="credit_limit_ngn"/>
    <tableColumn id="15" xr3:uid="{D2EFB85D-8306-4CAA-A261-1D08D62F1CC8}" name="city"/>
    <tableColumn id="16" xr3:uid="{E4D9FF74-5F56-40AF-858F-65C6A67E4EAD}" name="customer_name"/>
    <tableColumn id="17" xr3:uid="{3563F095-2754-44C4-83D3-B375E9ABA043}" name="segment"/>
    <tableColumn id="18" xr3:uid="{88959AD1-94A8-43A4-8BF6-A5EBB8149A69}" name="revenue"/>
    <tableColumn id="19" xr3:uid="{CE1B76E5-941C-49E8-B597-717CCC96CAE8}" name="Profit_ng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zoomScaleNormal="100" workbookViewId="0"/>
  </sheetViews>
  <sheetFormatPr defaultColWidth="8.7109375" defaultRowHeight="15" x14ac:dyDescent="0.25"/>
  <cols>
    <col min="1" max="1" width="112" customWidth="1"/>
  </cols>
  <sheetData>
    <row r="1" spans="1:1" ht="18.600000000000001" customHeight="1" x14ac:dyDescent="0.3">
      <c r="A1" s="1" t="s">
        <v>0</v>
      </c>
    </row>
    <row r="2" spans="1:1" ht="15" customHeight="1" x14ac:dyDescent="0.25">
      <c r="A2" s="2" t="s">
        <v>1</v>
      </c>
    </row>
    <row r="3" spans="1:1" ht="15" customHeight="1" x14ac:dyDescent="0.25">
      <c r="A3" s="3"/>
    </row>
    <row r="4" spans="1:1" ht="15" customHeight="1" x14ac:dyDescent="0.25">
      <c r="A4" s="4" t="s">
        <v>2</v>
      </c>
    </row>
    <row r="5" spans="1:1" ht="15" customHeight="1" x14ac:dyDescent="0.25">
      <c r="A5" s="3"/>
    </row>
    <row r="6" spans="1:1" ht="15" customHeight="1" x14ac:dyDescent="0.25">
      <c r="A6" s="2" t="s">
        <v>3</v>
      </c>
    </row>
    <row r="7" spans="1:1" ht="15" customHeight="1" x14ac:dyDescent="0.25">
      <c r="A7" s="4" t="s">
        <v>4</v>
      </c>
    </row>
    <row r="8" spans="1:1" ht="15" customHeight="1" x14ac:dyDescent="0.25">
      <c r="A8" s="4" t="s">
        <v>5</v>
      </c>
    </row>
    <row r="9" spans="1:1" ht="15" customHeight="1" x14ac:dyDescent="0.25">
      <c r="A9" s="4" t="s">
        <v>6</v>
      </c>
    </row>
    <row r="10" spans="1:1" ht="15" customHeight="1" x14ac:dyDescent="0.25">
      <c r="A10" s="3"/>
    </row>
    <row r="11" spans="1:1" ht="15" customHeight="1" x14ac:dyDescent="0.25">
      <c r="A11" s="2" t="s">
        <v>7</v>
      </c>
    </row>
    <row r="12" spans="1:1" ht="15" customHeight="1" x14ac:dyDescent="0.25">
      <c r="A12" s="5" t="s">
        <v>8</v>
      </c>
    </row>
    <row r="13" spans="1:1" ht="15" customHeight="1" x14ac:dyDescent="0.25">
      <c r="A13" s="5" t="s">
        <v>9</v>
      </c>
    </row>
    <row r="14" spans="1:1" ht="15" customHeight="1" x14ac:dyDescent="0.25">
      <c r="A14" s="3"/>
    </row>
    <row r="15" spans="1:1" ht="15" customHeight="1" x14ac:dyDescent="0.25">
      <c r="A15" s="2" t="s">
        <v>10</v>
      </c>
    </row>
    <row r="16" spans="1:1" ht="15" customHeight="1" x14ac:dyDescent="0.25">
      <c r="A16" s="4" t="s">
        <v>11</v>
      </c>
    </row>
    <row r="17" spans="1:1" ht="15" customHeight="1" x14ac:dyDescent="0.25">
      <c r="A17" s="4" t="s">
        <v>12</v>
      </c>
    </row>
    <row r="18" spans="1:1" ht="15" customHeight="1" x14ac:dyDescent="0.25">
      <c r="A18" s="3"/>
    </row>
    <row r="19" spans="1:1" ht="15" customHeight="1" x14ac:dyDescent="0.25">
      <c r="A19" s="6" t="s">
        <v>13</v>
      </c>
    </row>
    <row r="20" spans="1:1" ht="15" customHeight="1" x14ac:dyDescent="0.25">
      <c r="A20" s="7" t="s">
        <v>14</v>
      </c>
    </row>
    <row r="21" spans="1:1" ht="15" customHeight="1" x14ac:dyDescent="0.25">
      <c r="A21" s="3"/>
    </row>
    <row r="22" spans="1:1" ht="15" customHeight="1" x14ac:dyDescent="0.25">
      <c r="A22" s="8" t="s">
        <v>15</v>
      </c>
    </row>
    <row r="24" spans="1:1" x14ac:dyDescent="0.25">
      <c r="A24" s="25" t="s">
        <v>16</v>
      </c>
    </row>
    <row r="25" spans="1:1" x14ac:dyDescent="0.25">
      <c r="A25" s="26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5E74-E1CF-42E8-A8E7-6C7068D44D1A}">
  <sheetPr>
    <pageSetUpPr fitToPage="1"/>
  </sheetPr>
  <dimension ref="A1:L121"/>
  <sheetViews>
    <sheetView topLeftCell="F1" zoomScaleNormal="100" workbookViewId="0">
      <pane ySplit="1" topLeftCell="A2" activePane="bottomLeft" state="frozen"/>
      <selection pane="bottomLeft" activeCell="N11" sqref="N11"/>
    </sheetView>
  </sheetViews>
  <sheetFormatPr defaultColWidth="8.7109375" defaultRowHeight="15" x14ac:dyDescent="0.25"/>
  <cols>
    <col min="1" max="3" width="15" customWidth="1"/>
    <col min="4" max="4" width="17.5703125" customWidth="1"/>
    <col min="5" max="10" width="15" customWidth="1"/>
    <col min="11" max="11" width="19" customWidth="1"/>
    <col min="12" max="12" width="16.28515625" customWidth="1"/>
  </cols>
  <sheetData>
    <row r="1" spans="1:12" x14ac:dyDescent="0.25">
      <c r="A1" s="9" t="s">
        <v>30</v>
      </c>
      <c r="B1" s="9" t="s">
        <v>627</v>
      </c>
      <c r="C1" s="9" t="s">
        <v>628</v>
      </c>
      <c r="D1" s="9" t="s">
        <v>629</v>
      </c>
      <c r="E1" s="9" t="s">
        <v>630</v>
      </c>
      <c r="F1" s="9" t="s">
        <v>631</v>
      </c>
      <c r="G1" s="9" t="s">
        <v>632</v>
      </c>
      <c r="H1" s="9" t="s">
        <v>633</v>
      </c>
      <c r="I1" s="9" t="s">
        <v>634</v>
      </c>
      <c r="J1" s="9" t="s">
        <v>635</v>
      </c>
      <c r="K1" s="9" t="s">
        <v>636</v>
      </c>
      <c r="L1" s="40" t="s">
        <v>1185</v>
      </c>
    </row>
    <row r="2" spans="1:12" x14ac:dyDescent="0.25">
      <c r="A2" s="29" t="s">
        <v>637</v>
      </c>
      <c r="B2" s="29" t="s">
        <v>638</v>
      </c>
      <c r="C2" s="29" t="s">
        <v>639</v>
      </c>
      <c r="D2" s="29" t="s">
        <v>640</v>
      </c>
      <c r="E2" s="29" t="s">
        <v>641</v>
      </c>
      <c r="F2" s="29"/>
      <c r="G2" s="29" t="s">
        <v>39</v>
      </c>
      <c r="H2" s="29" t="s">
        <v>642</v>
      </c>
      <c r="I2" s="29" t="s">
        <v>643</v>
      </c>
      <c r="J2" s="29" t="s">
        <v>644</v>
      </c>
      <c r="K2" s="29">
        <v>150000</v>
      </c>
      <c r="L2" s="39">
        <f>COUNTIF(Sales[customer_id],Cust[[#This Row],[customer_id]])</f>
        <v>0</v>
      </c>
    </row>
    <row r="3" spans="1:12" x14ac:dyDescent="0.25">
      <c r="A3" s="29" t="s">
        <v>373</v>
      </c>
      <c r="B3" s="29" t="s">
        <v>645</v>
      </c>
      <c r="C3" s="29" t="s">
        <v>646</v>
      </c>
      <c r="D3" s="29" t="s">
        <v>647</v>
      </c>
      <c r="E3" s="29" t="s">
        <v>648</v>
      </c>
      <c r="F3" s="29" t="s">
        <v>649</v>
      </c>
      <c r="G3" s="29" t="s">
        <v>39</v>
      </c>
      <c r="H3" s="29" t="s">
        <v>642</v>
      </c>
      <c r="I3" s="29" t="s">
        <v>650</v>
      </c>
      <c r="J3" s="29" t="s">
        <v>644</v>
      </c>
      <c r="K3" s="29">
        <v>500000</v>
      </c>
      <c r="L3" s="29">
        <f>COUNTIF(Sales[customer_id],Cust[[#This Row],[customer_id]])</f>
        <v>2</v>
      </c>
    </row>
    <row r="4" spans="1:12" x14ac:dyDescent="0.25">
      <c r="A4" s="29" t="s">
        <v>81</v>
      </c>
      <c r="B4" s="29" t="s">
        <v>651</v>
      </c>
      <c r="C4" s="29" t="s">
        <v>652</v>
      </c>
      <c r="D4" s="29" t="s">
        <v>653</v>
      </c>
      <c r="E4" s="29" t="s">
        <v>654</v>
      </c>
      <c r="F4" s="29" t="s">
        <v>655</v>
      </c>
      <c r="G4" s="29" t="s">
        <v>32</v>
      </c>
      <c r="H4" s="29" t="s">
        <v>32</v>
      </c>
      <c r="I4" s="29" t="s">
        <v>656</v>
      </c>
      <c r="J4" s="29" t="s">
        <v>657</v>
      </c>
      <c r="K4" s="29">
        <v>100000</v>
      </c>
      <c r="L4" s="29">
        <f>COUNTIF(Sales[customer_id],Cust[[#This Row],[customer_id]])</f>
        <v>3</v>
      </c>
    </row>
    <row r="5" spans="1:12" x14ac:dyDescent="0.25">
      <c r="A5" s="29" t="s">
        <v>210</v>
      </c>
      <c r="B5" s="29" t="s">
        <v>658</v>
      </c>
      <c r="C5" s="29" t="s">
        <v>659</v>
      </c>
      <c r="D5" s="29" t="s">
        <v>660</v>
      </c>
      <c r="E5" s="29" t="s">
        <v>661</v>
      </c>
      <c r="F5" s="29" t="s">
        <v>662</v>
      </c>
      <c r="G5" s="29" t="s">
        <v>39</v>
      </c>
      <c r="H5" s="29" t="s">
        <v>642</v>
      </c>
      <c r="I5" s="29" t="s">
        <v>663</v>
      </c>
      <c r="J5" s="29" t="s">
        <v>644</v>
      </c>
      <c r="K5" s="29">
        <v>250000</v>
      </c>
      <c r="L5" s="29">
        <f>COUNTIF(Sales[customer_id],Cust[[#This Row],[customer_id]])</f>
        <v>3</v>
      </c>
    </row>
    <row r="6" spans="1:12" x14ac:dyDescent="0.25">
      <c r="A6" s="29" t="s">
        <v>256</v>
      </c>
      <c r="B6" s="29" t="s">
        <v>664</v>
      </c>
      <c r="C6" s="29" t="s">
        <v>665</v>
      </c>
      <c r="D6" s="29" t="s">
        <v>666</v>
      </c>
      <c r="E6" s="29" t="s">
        <v>667</v>
      </c>
      <c r="F6" s="29" t="s">
        <v>668</v>
      </c>
      <c r="G6" s="29" t="s">
        <v>32</v>
      </c>
      <c r="H6" s="29" t="s">
        <v>32</v>
      </c>
      <c r="I6" s="29" t="s">
        <v>669</v>
      </c>
      <c r="J6" s="29" t="s">
        <v>657</v>
      </c>
      <c r="K6" s="29">
        <v>150000</v>
      </c>
      <c r="L6" s="29">
        <f>COUNTIF(Sales[customer_id],Cust[[#This Row],[customer_id]])</f>
        <v>5</v>
      </c>
    </row>
    <row r="7" spans="1:12" x14ac:dyDescent="0.25">
      <c r="A7" s="29" t="s">
        <v>493</v>
      </c>
      <c r="B7" s="29" t="s">
        <v>638</v>
      </c>
      <c r="C7" s="29" t="s">
        <v>665</v>
      </c>
      <c r="D7" s="29" t="s">
        <v>670</v>
      </c>
      <c r="E7" s="29" t="s">
        <v>671</v>
      </c>
      <c r="F7" s="29" t="s">
        <v>672</v>
      </c>
      <c r="G7" s="29" t="s">
        <v>32</v>
      </c>
      <c r="H7" s="29" t="s">
        <v>32</v>
      </c>
      <c r="I7" s="29" t="s">
        <v>673</v>
      </c>
      <c r="J7" s="29" t="s">
        <v>657</v>
      </c>
      <c r="K7" s="29">
        <v>250000</v>
      </c>
      <c r="L7" s="29">
        <f>COUNTIF(Sales[customer_id],Cust[[#This Row],[customer_id]])</f>
        <v>5</v>
      </c>
    </row>
    <row r="8" spans="1:12" x14ac:dyDescent="0.25">
      <c r="A8" s="29" t="s">
        <v>177</v>
      </c>
      <c r="B8" s="29" t="s">
        <v>674</v>
      </c>
      <c r="C8" s="29" t="s">
        <v>675</v>
      </c>
      <c r="D8" s="29" t="s">
        <v>676</v>
      </c>
      <c r="E8" s="29" t="s">
        <v>677</v>
      </c>
      <c r="F8" s="29" t="s">
        <v>678</v>
      </c>
      <c r="G8" s="29" t="s">
        <v>63</v>
      </c>
      <c r="H8" s="29" t="s">
        <v>63</v>
      </c>
      <c r="I8" s="29" t="s">
        <v>679</v>
      </c>
      <c r="J8" s="29" t="s">
        <v>657</v>
      </c>
      <c r="K8" s="29">
        <v>100000</v>
      </c>
      <c r="L8" s="29">
        <f>COUNTIF(Sales[customer_id],Cust[[#This Row],[customer_id]])</f>
        <v>2</v>
      </c>
    </row>
    <row r="9" spans="1:12" x14ac:dyDescent="0.25">
      <c r="A9" s="29" t="s">
        <v>195</v>
      </c>
      <c r="B9" s="29" t="s">
        <v>680</v>
      </c>
      <c r="C9" s="29" t="s">
        <v>681</v>
      </c>
      <c r="D9" s="29" t="s">
        <v>682</v>
      </c>
      <c r="E9" s="29" t="s">
        <v>683</v>
      </c>
      <c r="F9" s="29" t="s">
        <v>684</v>
      </c>
      <c r="G9" s="29" t="s">
        <v>43</v>
      </c>
      <c r="H9" s="29" t="s">
        <v>685</v>
      </c>
      <c r="I9" s="29" t="s">
        <v>686</v>
      </c>
      <c r="J9" s="29" t="s">
        <v>644</v>
      </c>
      <c r="K9" s="29">
        <v>250000</v>
      </c>
      <c r="L9" s="29">
        <f>COUNTIF(Sales[customer_id],Cust[[#This Row],[customer_id]])</f>
        <v>2</v>
      </c>
    </row>
    <row r="10" spans="1:12" x14ac:dyDescent="0.25">
      <c r="A10" s="29" t="s">
        <v>188</v>
      </c>
      <c r="B10" s="29" t="s">
        <v>687</v>
      </c>
      <c r="C10" s="29" t="s">
        <v>688</v>
      </c>
      <c r="D10" s="29" t="s">
        <v>689</v>
      </c>
      <c r="E10" s="29" t="s">
        <v>690</v>
      </c>
      <c r="F10" s="29" t="s">
        <v>691</v>
      </c>
      <c r="G10" s="29" t="s">
        <v>43</v>
      </c>
      <c r="H10" s="29" t="s">
        <v>685</v>
      </c>
      <c r="I10" s="29" t="s">
        <v>692</v>
      </c>
      <c r="J10" s="29" t="s">
        <v>644</v>
      </c>
      <c r="K10" s="29">
        <v>500000</v>
      </c>
      <c r="L10" s="29">
        <f>COUNTIF(Sales[customer_id],Cust[[#This Row],[customer_id]])</f>
        <v>4</v>
      </c>
    </row>
    <row r="11" spans="1:12" x14ac:dyDescent="0.25">
      <c r="A11" s="29" t="s">
        <v>111</v>
      </c>
      <c r="B11" s="29" t="s">
        <v>693</v>
      </c>
      <c r="C11" s="29" t="s">
        <v>694</v>
      </c>
      <c r="D11" s="29" t="s">
        <v>695</v>
      </c>
      <c r="E11" s="29"/>
      <c r="F11" s="29" t="s">
        <v>696</v>
      </c>
      <c r="G11" s="29" t="s">
        <v>43</v>
      </c>
      <c r="H11" s="29" t="s">
        <v>685</v>
      </c>
      <c r="I11" s="29" t="s">
        <v>697</v>
      </c>
      <c r="J11" s="29" t="s">
        <v>657</v>
      </c>
      <c r="K11" s="29">
        <v>500000</v>
      </c>
      <c r="L11" s="29">
        <f>COUNTIF(Sales[customer_id],Cust[[#This Row],[customer_id]])</f>
        <v>8</v>
      </c>
    </row>
    <row r="12" spans="1:12" x14ac:dyDescent="0.25">
      <c r="A12" s="29" t="s">
        <v>123</v>
      </c>
      <c r="B12" s="29" t="s">
        <v>698</v>
      </c>
      <c r="C12" s="29" t="s">
        <v>699</v>
      </c>
      <c r="D12" s="29" t="s">
        <v>700</v>
      </c>
      <c r="E12" s="29" t="s">
        <v>701</v>
      </c>
      <c r="F12" s="29" t="s">
        <v>702</v>
      </c>
      <c r="G12" s="29" t="s">
        <v>54</v>
      </c>
      <c r="H12" s="29" t="s">
        <v>703</v>
      </c>
      <c r="I12" s="29" t="s">
        <v>704</v>
      </c>
      <c r="J12" s="29" t="s">
        <v>657</v>
      </c>
      <c r="K12" s="29">
        <v>50000</v>
      </c>
      <c r="L12" s="29">
        <f>COUNTIF(Sales[customer_id],Cust[[#This Row],[customer_id]])</f>
        <v>2</v>
      </c>
    </row>
    <row r="13" spans="1:12" x14ac:dyDescent="0.25">
      <c r="A13" s="29" t="s">
        <v>90</v>
      </c>
      <c r="B13" s="29" t="s">
        <v>705</v>
      </c>
      <c r="C13" s="29" t="s">
        <v>706</v>
      </c>
      <c r="D13" s="29" t="s">
        <v>707</v>
      </c>
      <c r="E13" s="29" t="s">
        <v>708</v>
      </c>
      <c r="F13" s="29"/>
      <c r="G13" s="29" t="s">
        <v>32</v>
      </c>
      <c r="H13" s="29" t="s">
        <v>32</v>
      </c>
      <c r="I13" s="29" t="s">
        <v>709</v>
      </c>
      <c r="J13" s="29" t="s">
        <v>657</v>
      </c>
      <c r="K13" s="29">
        <v>500000</v>
      </c>
      <c r="L13" s="29">
        <f>COUNTIF(Sales[customer_id],Cust[[#This Row],[customer_id]])</f>
        <v>3</v>
      </c>
    </row>
    <row r="14" spans="1:12" x14ac:dyDescent="0.25">
      <c r="A14" s="29" t="s">
        <v>127</v>
      </c>
      <c r="B14" s="29" t="s">
        <v>710</v>
      </c>
      <c r="C14" s="29" t="s">
        <v>711</v>
      </c>
      <c r="D14" s="29" t="s">
        <v>712</v>
      </c>
      <c r="E14" s="29" t="s">
        <v>713</v>
      </c>
      <c r="F14" s="29" t="s">
        <v>714</v>
      </c>
      <c r="G14" s="29" t="s">
        <v>54</v>
      </c>
      <c r="H14" s="29" t="s">
        <v>703</v>
      </c>
      <c r="I14" s="29" t="s">
        <v>715</v>
      </c>
      <c r="J14" s="29" t="s">
        <v>716</v>
      </c>
      <c r="K14" s="29">
        <v>250000</v>
      </c>
      <c r="L14" s="29">
        <f>COUNTIF(Sales[customer_id],Cust[[#This Row],[customer_id]])</f>
        <v>4</v>
      </c>
    </row>
    <row r="15" spans="1:12" x14ac:dyDescent="0.25">
      <c r="A15" s="29" t="s">
        <v>208</v>
      </c>
      <c r="B15" s="29" t="s">
        <v>658</v>
      </c>
      <c r="C15" s="29" t="s">
        <v>717</v>
      </c>
      <c r="D15" s="29" t="s">
        <v>718</v>
      </c>
      <c r="E15" s="29" t="s">
        <v>719</v>
      </c>
      <c r="F15" s="29" t="s">
        <v>720</v>
      </c>
      <c r="G15" s="29" t="s">
        <v>63</v>
      </c>
      <c r="H15" s="29" t="s">
        <v>63</v>
      </c>
      <c r="I15" s="29" t="s">
        <v>721</v>
      </c>
      <c r="J15" s="29" t="s">
        <v>644</v>
      </c>
      <c r="K15" s="29">
        <v>50000</v>
      </c>
      <c r="L15" s="29">
        <f>COUNTIF(Sales[customer_id],Cust[[#This Row],[customer_id]])</f>
        <v>5</v>
      </c>
    </row>
    <row r="16" spans="1:12" x14ac:dyDescent="0.25">
      <c r="A16" s="29" t="s">
        <v>73</v>
      </c>
      <c r="B16" s="29" t="s">
        <v>680</v>
      </c>
      <c r="C16" s="29" t="s">
        <v>722</v>
      </c>
      <c r="D16" s="29" t="s">
        <v>723</v>
      </c>
      <c r="E16" s="29" t="s">
        <v>724</v>
      </c>
      <c r="F16" s="29" t="s">
        <v>725</v>
      </c>
      <c r="G16" s="29" t="s">
        <v>32</v>
      </c>
      <c r="H16" s="29" t="s">
        <v>32</v>
      </c>
      <c r="I16" s="29" t="s">
        <v>726</v>
      </c>
      <c r="J16" s="29" t="s">
        <v>644</v>
      </c>
      <c r="K16" s="29">
        <v>250000</v>
      </c>
      <c r="L16" s="29">
        <f>COUNTIF(Sales[customer_id],Cust[[#This Row],[customer_id]])</f>
        <v>3</v>
      </c>
    </row>
    <row r="17" spans="1:12" x14ac:dyDescent="0.25">
      <c r="A17" s="29" t="s">
        <v>115</v>
      </c>
      <c r="B17" s="29" t="s">
        <v>727</v>
      </c>
      <c r="C17" s="29" t="s">
        <v>728</v>
      </c>
      <c r="D17" s="29" t="s">
        <v>729</v>
      </c>
      <c r="E17" s="29" t="s">
        <v>730</v>
      </c>
      <c r="F17" s="29" t="s">
        <v>731</v>
      </c>
      <c r="G17" s="29" t="s">
        <v>63</v>
      </c>
      <c r="H17" s="29" t="s">
        <v>63</v>
      </c>
      <c r="I17" s="29"/>
      <c r="J17" s="29" t="s">
        <v>716</v>
      </c>
      <c r="K17" s="29">
        <v>500000</v>
      </c>
      <c r="L17" s="29">
        <f>COUNTIF(Sales[customer_id],Cust[[#This Row],[customer_id]])</f>
        <v>3</v>
      </c>
    </row>
    <row r="18" spans="1:12" x14ac:dyDescent="0.25">
      <c r="A18" s="29" t="s">
        <v>118</v>
      </c>
      <c r="B18" s="29" t="s">
        <v>732</v>
      </c>
      <c r="C18" s="29" t="s">
        <v>733</v>
      </c>
      <c r="D18" s="29" t="s">
        <v>734</v>
      </c>
      <c r="E18" s="29" t="s">
        <v>735</v>
      </c>
      <c r="F18" s="29" t="s">
        <v>736</v>
      </c>
      <c r="G18" s="29" t="s">
        <v>39</v>
      </c>
      <c r="H18" s="29" t="s">
        <v>642</v>
      </c>
      <c r="I18" s="29" t="s">
        <v>737</v>
      </c>
      <c r="J18" s="29" t="s">
        <v>644</v>
      </c>
      <c r="K18" s="29">
        <v>150000</v>
      </c>
      <c r="L18" s="29">
        <f>COUNTIF(Sales[customer_id],Cust[[#This Row],[customer_id]])</f>
        <v>4</v>
      </c>
    </row>
    <row r="19" spans="1:12" x14ac:dyDescent="0.25">
      <c r="A19" s="29" t="s">
        <v>738</v>
      </c>
      <c r="B19" s="29" t="s">
        <v>739</v>
      </c>
      <c r="C19" s="29" t="s">
        <v>652</v>
      </c>
      <c r="D19" s="29" t="s">
        <v>740</v>
      </c>
      <c r="E19" s="29" t="s">
        <v>741</v>
      </c>
      <c r="F19" s="29" t="s">
        <v>742</v>
      </c>
      <c r="G19" s="29" t="s">
        <v>32</v>
      </c>
      <c r="H19" s="29" t="s">
        <v>32</v>
      </c>
      <c r="I19" s="29" t="s">
        <v>743</v>
      </c>
      <c r="J19" s="29" t="s">
        <v>716</v>
      </c>
      <c r="K19" s="29">
        <v>500000</v>
      </c>
      <c r="L19" s="29">
        <f>COUNTIF(Sales[customer_id],Cust[[#This Row],[customer_id]])</f>
        <v>0</v>
      </c>
    </row>
    <row r="20" spans="1:12" x14ac:dyDescent="0.25">
      <c r="A20" s="29" t="s">
        <v>375</v>
      </c>
      <c r="B20" s="29" t="s">
        <v>744</v>
      </c>
      <c r="C20" s="29" t="s">
        <v>646</v>
      </c>
      <c r="D20" s="29" t="s">
        <v>745</v>
      </c>
      <c r="E20" s="29" t="s">
        <v>746</v>
      </c>
      <c r="F20" s="29" t="s">
        <v>747</v>
      </c>
      <c r="G20" s="29" t="s">
        <v>32</v>
      </c>
      <c r="H20" s="29" t="s">
        <v>32</v>
      </c>
      <c r="I20" s="29" t="s">
        <v>748</v>
      </c>
      <c r="J20" s="29" t="s">
        <v>644</v>
      </c>
      <c r="K20" s="29">
        <v>50000</v>
      </c>
      <c r="L20" s="29">
        <f>COUNTIF(Sales[customer_id],Cust[[#This Row],[customer_id]])</f>
        <v>1</v>
      </c>
    </row>
    <row r="21" spans="1:12" x14ac:dyDescent="0.25">
      <c r="A21" s="29" t="s">
        <v>293</v>
      </c>
      <c r="B21" s="29" t="s">
        <v>749</v>
      </c>
      <c r="C21" s="29" t="s">
        <v>750</v>
      </c>
      <c r="D21" s="29" t="s">
        <v>751</v>
      </c>
      <c r="E21" s="29" t="s">
        <v>752</v>
      </c>
      <c r="F21" s="29" t="s">
        <v>753</v>
      </c>
      <c r="G21" s="29" t="s">
        <v>32</v>
      </c>
      <c r="H21" s="29" t="s">
        <v>32</v>
      </c>
      <c r="I21" s="29" t="s">
        <v>754</v>
      </c>
      <c r="J21" s="29" t="s">
        <v>657</v>
      </c>
      <c r="K21" s="29">
        <v>150000</v>
      </c>
      <c r="L21" s="29">
        <f>COUNTIF(Sales[customer_id],Cust[[#This Row],[customer_id]])</f>
        <v>4</v>
      </c>
    </row>
    <row r="22" spans="1:12" x14ac:dyDescent="0.25">
      <c r="A22" s="29" t="s">
        <v>312</v>
      </c>
      <c r="B22" s="29" t="s">
        <v>755</v>
      </c>
      <c r="C22" s="29" t="s">
        <v>756</v>
      </c>
      <c r="D22" s="29" t="s">
        <v>757</v>
      </c>
      <c r="E22" s="29" t="s">
        <v>758</v>
      </c>
      <c r="F22" s="29" t="s">
        <v>759</v>
      </c>
      <c r="G22" s="29" t="s">
        <v>32</v>
      </c>
      <c r="H22" s="29" t="s">
        <v>32</v>
      </c>
      <c r="I22" s="29" t="s">
        <v>760</v>
      </c>
      <c r="J22" s="29" t="s">
        <v>716</v>
      </c>
      <c r="K22" s="29">
        <v>150000</v>
      </c>
      <c r="L22" s="29">
        <f>COUNTIF(Sales[customer_id],Cust[[#This Row],[customer_id]])</f>
        <v>2</v>
      </c>
    </row>
    <row r="23" spans="1:12" x14ac:dyDescent="0.25">
      <c r="A23" s="29" t="s">
        <v>163</v>
      </c>
      <c r="B23" s="29" t="s">
        <v>651</v>
      </c>
      <c r="C23" s="29" t="s">
        <v>761</v>
      </c>
      <c r="D23" s="29" t="s">
        <v>762</v>
      </c>
      <c r="E23" s="29" t="s">
        <v>763</v>
      </c>
      <c r="F23" s="29" t="s">
        <v>764</v>
      </c>
      <c r="G23" s="29" t="s">
        <v>32</v>
      </c>
      <c r="H23" s="29" t="s">
        <v>32</v>
      </c>
      <c r="I23" s="29" t="s">
        <v>765</v>
      </c>
      <c r="J23" s="29" t="s">
        <v>644</v>
      </c>
      <c r="K23" s="29">
        <v>500000</v>
      </c>
      <c r="L23" s="29">
        <f>COUNTIF(Sales[customer_id],Cust[[#This Row],[customer_id]])</f>
        <v>1</v>
      </c>
    </row>
    <row r="24" spans="1:12" x14ac:dyDescent="0.25">
      <c r="A24" s="29" t="s">
        <v>766</v>
      </c>
      <c r="B24" s="29" t="s">
        <v>733</v>
      </c>
      <c r="C24" s="29" t="s">
        <v>646</v>
      </c>
      <c r="D24" s="29" t="s">
        <v>767</v>
      </c>
      <c r="E24" s="29" t="s">
        <v>768</v>
      </c>
      <c r="F24" s="29" t="s">
        <v>769</v>
      </c>
      <c r="G24" s="29" t="s">
        <v>32</v>
      </c>
      <c r="H24" s="29" t="s">
        <v>32</v>
      </c>
      <c r="I24" s="29" t="s">
        <v>770</v>
      </c>
      <c r="J24" s="29" t="s">
        <v>716</v>
      </c>
      <c r="K24" s="29">
        <v>50000</v>
      </c>
      <c r="L24" s="29">
        <f>COUNTIF(Sales[customer_id],Cust[[#This Row],[customer_id]])</f>
        <v>0</v>
      </c>
    </row>
    <row r="25" spans="1:12" x14ac:dyDescent="0.25">
      <c r="A25" s="29" t="s">
        <v>308</v>
      </c>
      <c r="B25" s="29" t="s">
        <v>664</v>
      </c>
      <c r="C25" s="29" t="s">
        <v>771</v>
      </c>
      <c r="D25" s="29" t="s">
        <v>772</v>
      </c>
      <c r="E25" s="29" t="s">
        <v>773</v>
      </c>
      <c r="F25" s="29" t="s">
        <v>774</v>
      </c>
      <c r="G25" s="29" t="s">
        <v>39</v>
      </c>
      <c r="H25" s="29" t="s">
        <v>642</v>
      </c>
      <c r="I25" s="29" t="s">
        <v>775</v>
      </c>
      <c r="J25" s="29" t="s">
        <v>644</v>
      </c>
      <c r="K25" s="29">
        <v>250000</v>
      </c>
      <c r="L25" s="29">
        <f>COUNTIF(Sales[customer_id],Cust[[#This Row],[customer_id]])</f>
        <v>2</v>
      </c>
    </row>
    <row r="26" spans="1:12" x14ac:dyDescent="0.25">
      <c r="A26" s="29" t="s">
        <v>316</v>
      </c>
      <c r="B26" s="29" t="s">
        <v>776</v>
      </c>
      <c r="C26" s="29" t="s">
        <v>675</v>
      </c>
      <c r="D26" s="29" t="s">
        <v>777</v>
      </c>
      <c r="E26" s="29" t="s">
        <v>778</v>
      </c>
      <c r="F26" s="29" t="s">
        <v>779</v>
      </c>
      <c r="G26" s="29" t="s">
        <v>39</v>
      </c>
      <c r="H26" s="29" t="s">
        <v>642</v>
      </c>
      <c r="I26" s="29" t="s">
        <v>780</v>
      </c>
      <c r="J26" s="29" t="s">
        <v>716</v>
      </c>
      <c r="K26" s="29">
        <v>100000</v>
      </c>
      <c r="L26" s="29">
        <f>COUNTIF(Sales[customer_id],Cust[[#This Row],[customer_id]])</f>
        <v>4</v>
      </c>
    </row>
    <row r="27" spans="1:12" x14ac:dyDescent="0.25">
      <c r="A27" s="29" t="s">
        <v>310</v>
      </c>
      <c r="B27" s="29" t="s">
        <v>680</v>
      </c>
      <c r="C27" s="29" t="s">
        <v>639</v>
      </c>
      <c r="D27" s="29" t="s">
        <v>781</v>
      </c>
      <c r="E27" s="29" t="s">
        <v>782</v>
      </c>
      <c r="F27" s="29" t="s">
        <v>783</v>
      </c>
      <c r="G27" s="29" t="s">
        <v>39</v>
      </c>
      <c r="H27" s="29" t="s">
        <v>642</v>
      </c>
      <c r="I27" s="29" t="s">
        <v>784</v>
      </c>
      <c r="J27" s="29" t="s">
        <v>644</v>
      </c>
      <c r="K27" s="29">
        <v>100000</v>
      </c>
      <c r="L27" s="29">
        <f>COUNTIF(Sales[customer_id],Cust[[#This Row],[customer_id]])</f>
        <v>3</v>
      </c>
    </row>
    <row r="28" spans="1:12" x14ac:dyDescent="0.25">
      <c r="A28" s="29" t="s">
        <v>125</v>
      </c>
      <c r="B28" s="29" t="s">
        <v>710</v>
      </c>
      <c r="C28" s="29" t="s">
        <v>694</v>
      </c>
      <c r="D28" s="29" t="s">
        <v>785</v>
      </c>
      <c r="E28" s="29" t="s">
        <v>786</v>
      </c>
      <c r="F28" s="29" t="s">
        <v>787</v>
      </c>
      <c r="G28" s="29" t="s">
        <v>39</v>
      </c>
      <c r="H28" s="29" t="s">
        <v>642</v>
      </c>
      <c r="I28" s="29" t="s">
        <v>788</v>
      </c>
      <c r="J28" s="29" t="s">
        <v>657</v>
      </c>
      <c r="K28" s="29">
        <v>100000</v>
      </c>
      <c r="L28" s="29">
        <f>COUNTIF(Sales[customer_id],Cust[[#This Row],[customer_id]])</f>
        <v>4</v>
      </c>
    </row>
    <row r="29" spans="1:12" x14ac:dyDescent="0.25">
      <c r="A29" s="29" t="s">
        <v>166</v>
      </c>
      <c r="B29" s="29" t="s">
        <v>749</v>
      </c>
      <c r="C29" s="29" t="s">
        <v>717</v>
      </c>
      <c r="D29" s="29" t="s">
        <v>789</v>
      </c>
      <c r="E29" s="29" t="s">
        <v>790</v>
      </c>
      <c r="F29" s="29" t="s">
        <v>791</v>
      </c>
      <c r="G29" s="29" t="s">
        <v>32</v>
      </c>
      <c r="H29" s="29" t="s">
        <v>32</v>
      </c>
      <c r="I29" s="29" t="s">
        <v>792</v>
      </c>
      <c r="J29" s="29" t="s">
        <v>657</v>
      </c>
      <c r="K29" s="29">
        <v>50000</v>
      </c>
      <c r="L29" s="29">
        <f>COUNTIF(Sales[customer_id],Cust[[#This Row],[customer_id]])</f>
        <v>1</v>
      </c>
    </row>
    <row r="30" spans="1:12" x14ac:dyDescent="0.25">
      <c r="A30" s="29" t="s">
        <v>84</v>
      </c>
      <c r="B30" s="29" t="s">
        <v>776</v>
      </c>
      <c r="C30" s="29" t="s">
        <v>793</v>
      </c>
      <c r="D30" s="29" t="s">
        <v>794</v>
      </c>
      <c r="E30" s="29" t="s">
        <v>795</v>
      </c>
      <c r="F30" s="29" t="s">
        <v>796</v>
      </c>
      <c r="G30" s="29" t="s">
        <v>32</v>
      </c>
      <c r="H30" s="29" t="s">
        <v>32</v>
      </c>
      <c r="I30" s="29" t="s">
        <v>797</v>
      </c>
      <c r="J30" s="29" t="s">
        <v>644</v>
      </c>
      <c r="K30" s="29">
        <v>150000</v>
      </c>
      <c r="L30" s="29">
        <f>COUNTIF(Sales[customer_id],Cust[[#This Row],[customer_id]])</f>
        <v>3</v>
      </c>
    </row>
    <row r="31" spans="1:12" x14ac:dyDescent="0.25">
      <c r="A31" s="29" t="s">
        <v>248</v>
      </c>
      <c r="B31" s="29" t="s">
        <v>798</v>
      </c>
      <c r="C31" s="29" t="s">
        <v>711</v>
      </c>
      <c r="D31" s="29" t="s">
        <v>799</v>
      </c>
      <c r="E31" s="29" t="s">
        <v>800</v>
      </c>
      <c r="F31" s="29" t="s">
        <v>801</v>
      </c>
      <c r="G31" s="29" t="s">
        <v>32</v>
      </c>
      <c r="H31" s="29" t="s">
        <v>32</v>
      </c>
      <c r="I31" s="29" t="s">
        <v>802</v>
      </c>
      <c r="J31" s="29" t="s">
        <v>644</v>
      </c>
      <c r="K31" s="29">
        <v>500000</v>
      </c>
      <c r="L31" s="29">
        <f>COUNTIF(Sales[customer_id],Cust[[#This Row],[customer_id]])</f>
        <v>4</v>
      </c>
    </row>
    <row r="32" spans="1:12" x14ac:dyDescent="0.25">
      <c r="A32" s="29" t="s">
        <v>484</v>
      </c>
      <c r="B32" s="29" t="s">
        <v>803</v>
      </c>
      <c r="C32" s="29" t="s">
        <v>804</v>
      </c>
      <c r="D32" s="29" t="s">
        <v>805</v>
      </c>
      <c r="E32" s="29" t="s">
        <v>806</v>
      </c>
      <c r="F32" s="29" t="s">
        <v>807</v>
      </c>
      <c r="G32" s="29" t="s">
        <v>63</v>
      </c>
      <c r="H32" s="29" t="s">
        <v>63</v>
      </c>
      <c r="I32" s="29" t="s">
        <v>808</v>
      </c>
      <c r="J32" s="29" t="s">
        <v>644</v>
      </c>
      <c r="K32" s="29">
        <v>150000</v>
      </c>
      <c r="L32" s="29">
        <f>COUNTIF(Sales[customer_id],Cust[[#This Row],[customer_id]])</f>
        <v>1</v>
      </c>
    </row>
    <row r="33" spans="1:12" x14ac:dyDescent="0.25">
      <c r="A33" s="29" t="s">
        <v>131</v>
      </c>
      <c r="B33" s="29" t="s">
        <v>658</v>
      </c>
      <c r="C33" s="29" t="s">
        <v>728</v>
      </c>
      <c r="D33" s="29" t="s">
        <v>809</v>
      </c>
      <c r="E33" s="29" t="s">
        <v>810</v>
      </c>
      <c r="F33" s="29" t="s">
        <v>811</v>
      </c>
      <c r="G33" s="29" t="s">
        <v>32</v>
      </c>
      <c r="H33" s="29" t="s">
        <v>32</v>
      </c>
      <c r="I33" s="29" t="s">
        <v>812</v>
      </c>
      <c r="J33" s="29" t="s">
        <v>644</v>
      </c>
      <c r="K33" s="29">
        <v>250000</v>
      </c>
      <c r="L33" s="29">
        <f>COUNTIF(Sales[customer_id],Cust[[#This Row],[customer_id]])</f>
        <v>2</v>
      </c>
    </row>
    <row r="34" spans="1:12" x14ac:dyDescent="0.25">
      <c r="A34" s="29" t="s">
        <v>404</v>
      </c>
      <c r="B34" s="29" t="s">
        <v>813</v>
      </c>
      <c r="C34" s="29" t="s">
        <v>665</v>
      </c>
      <c r="D34" s="29" t="s">
        <v>814</v>
      </c>
      <c r="E34" s="29" t="s">
        <v>815</v>
      </c>
      <c r="F34" s="29" t="s">
        <v>816</v>
      </c>
      <c r="G34" s="29" t="s">
        <v>32</v>
      </c>
      <c r="H34" s="29" t="s">
        <v>32</v>
      </c>
      <c r="I34" s="29" t="s">
        <v>817</v>
      </c>
      <c r="J34" s="29" t="s">
        <v>716</v>
      </c>
      <c r="K34" s="29">
        <v>250000</v>
      </c>
      <c r="L34" s="29">
        <f>COUNTIF(Sales[customer_id],Cust[[#This Row],[customer_id]])</f>
        <v>2</v>
      </c>
    </row>
    <row r="35" spans="1:12" x14ac:dyDescent="0.25">
      <c r="A35" s="29" t="s">
        <v>152</v>
      </c>
      <c r="B35" s="29" t="s">
        <v>818</v>
      </c>
      <c r="C35" s="29" t="s">
        <v>728</v>
      </c>
      <c r="D35" s="29" t="s">
        <v>819</v>
      </c>
      <c r="E35" s="29" t="s">
        <v>820</v>
      </c>
      <c r="F35" s="29" t="s">
        <v>821</v>
      </c>
      <c r="G35" s="29" t="s">
        <v>54</v>
      </c>
      <c r="H35" s="29" t="s">
        <v>703</v>
      </c>
      <c r="I35" s="29" t="s">
        <v>822</v>
      </c>
      <c r="J35" s="29" t="s">
        <v>716</v>
      </c>
      <c r="K35" s="29">
        <v>100000</v>
      </c>
      <c r="L35" s="29">
        <f>COUNTIF(Sales[customer_id],Cust[[#This Row],[customer_id]])</f>
        <v>5</v>
      </c>
    </row>
    <row r="36" spans="1:12" x14ac:dyDescent="0.25">
      <c r="A36" s="29" t="s">
        <v>399</v>
      </c>
      <c r="B36" s="29" t="s">
        <v>732</v>
      </c>
      <c r="C36" s="29" t="s">
        <v>699</v>
      </c>
      <c r="D36" s="29" t="s">
        <v>823</v>
      </c>
      <c r="E36" s="29"/>
      <c r="F36" s="29" t="s">
        <v>824</v>
      </c>
      <c r="G36" s="29" t="s">
        <v>39</v>
      </c>
      <c r="H36" s="29" t="s">
        <v>642</v>
      </c>
      <c r="I36" s="29" t="s">
        <v>825</v>
      </c>
      <c r="J36" s="29" t="s">
        <v>716</v>
      </c>
      <c r="K36" s="29">
        <v>100000</v>
      </c>
      <c r="L36" s="29">
        <f>COUNTIF(Sales[customer_id],Cust[[#This Row],[customer_id]])</f>
        <v>2</v>
      </c>
    </row>
    <row r="37" spans="1:12" x14ac:dyDescent="0.25">
      <c r="A37" s="29" t="s">
        <v>364</v>
      </c>
      <c r="B37" s="29" t="s">
        <v>680</v>
      </c>
      <c r="C37" s="29" t="s">
        <v>793</v>
      </c>
      <c r="D37" s="29" t="s">
        <v>826</v>
      </c>
      <c r="E37" s="29"/>
      <c r="F37" s="29" t="s">
        <v>827</v>
      </c>
      <c r="G37" s="29" t="s">
        <v>63</v>
      </c>
      <c r="H37" s="29" t="s">
        <v>63</v>
      </c>
      <c r="I37" s="29" t="s">
        <v>828</v>
      </c>
      <c r="J37" s="29" t="s">
        <v>644</v>
      </c>
      <c r="K37" s="29">
        <v>50000</v>
      </c>
      <c r="L37" s="29">
        <f>COUNTIF(Sales[customer_id],Cust[[#This Row],[customer_id]])</f>
        <v>4</v>
      </c>
    </row>
    <row r="38" spans="1:12" x14ac:dyDescent="0.25">
      <c r="A38" s="29" t="s">
        <v>161</v>
      </c>
      <c r="B38" s="29" t="s">
        <v>658</v>
      </c>
      <c r="C38" s="29" t="s">
        <v>711</v>
      </c>
      <c r="D38" s="29" t="s">
        <v>829</v>
      </c>
      <c r="E38" s="29" t="s">
        <v>830</v>
      </c>
      <c r="F38" s="29" t="s">
        <v>831</v>
      </c>
      <c r="G38" s="29" t="s">
        <v>43</v>
      </c>
      <c r="H38" s="29" t="s">
        <v>685</v>
      </c>
      <c r="I38" s="29" t="s">
        <v>832</v>
      </c>
      <c r="J38" s="29" t="s">
        <v>716</v>
      </c>
      <c r="K38" s="29">
        <v>50000</v>
      </c>
      <c r="L38" s="29">
        <f>COUNTIF(Sales[customer_id],Cust[[#This Row],[customer_id]])</f>
        <v>6</v>
      </c>
    </row>
    <row r="39" spans="1:12" x14ac:dyDescent="0.25">
      <c r="A39" s="29" t="s">
        <v>147</v>
      </c>
      <c r="B39" s="29" t="s">
        <v>680</v>
      </c>
      <c r="C39" s="29" t="s">
        <v>833</v>
      </c>
      <c r="D39" s="29" t="s">
        <v>834</v>
      </c>
      <c r="E39" s="29" t="s">
        <v>835</v>
      </c>
      <c r="F39" s="29" t="s">
        <v>836</v>
      </c>
      <c r="G39" s="29" t="s">
        <v>32</v>
      </c>
      <c r="H39" s="29" t="s">
        <v>32</v>
      </c>
      <c r="I39" s="29" t="s">
        <v>837</v>
      </c>
      <c r="J39" s="29" t="s">
        <v>657</v>
      </c>
      <c r="K39" s="29">
        <v>500000</v>
      </c>
      <c r="L39" s="29">
        <f>COUNTIF(Sales[customer_id],Cust[[#This Row],[customer_id]])</f>
        <v>1</v>
      </c>
    </row>
    <row r="40" spans="1:12" x14ac:dyDescent="0.25">
      <c r="A40" s="29" t="s">
        <v>37</v>
      </c>
      <c r="B40" s="29" t="s">
        <v>680</v>
      </c>
      <c r="C40" s="29" t="s">
        <v>838</v>
      </c>
      <c r="D40" s="29" t="s">
        <v>839</v>
      </c>
      <c r="E40" s="29" t="s">
        <v>840</v>
      </c>
      <c r="F40" s="29" t="s">
        <v>841</v>
      </c>
      <c r="G40" s="29" t="s">
        <v>32</v>
      </c>
      <c r="H40" s="29" t="s">
        <v>32</v>
      </c>
      <c r="I40" s="29" t="s">
        <v>842</v>
      </c>
      <c r="J40" s="29" t="s">
        <v>716</v>
      </c>
      <c r="K40" s="29">
        <v>150000</v>
      </c>
      <c r="L40" s="29">
        <f>COUNTIF(Sales[customer_id],Cust[[#This Row],[customer_id]])</f>
        <v>4</v>
      </c>
    </row>
    <row r="41" spans="1:12" x14ac:dyDescent="0.25">
      <c r="A41" s="29" t="s">
        <v>140</v>
      </c>
      <c r="B41" s="29" t="s">
        <v>843</v>
      </c>
      <c r="C41" s="29" t="s">
        <v>793</v>
      </c>
      <c r="D41" s="29" t="s">
        <v>844</v>
      </c>
      <c r="E41" s="29" t="s">
        <v>845</v>
      </c>
      <c r="F41" s="29" t="s">
        <v>846</v>
      </c>
      <c r="G41" s="29" t="s">
        <v>54</v>
      </c>
      <c r="H41" s="29" t="s">
        <v>703</v>
      </c>
      <c r="I41" s="29" t="s">
        <v>847</v>
      </c>
      <c r="J41" s="29" t="s">
        <v>644</v>
      </c>
      <c r="K41" s="29">
        <v>250000</v>
      </c>
      <c r="L41" s="29">
        <f>COUNTIF(Sales[customer_id],Cust[[#This Row],[customer_id]])</f>
        <v>6</v>
      </c>
    </row>
    <row r="42" spans="1:12" x14ac:dyDescent="0.25">
      <c r="A42" s="29" t="s">
        <v>201</v>
      </c>
      <c r="B42" s="29" t="s">
        <v>803</v>
      </c>
      <c r="C42" s="29" t="s">
        <v>804</v>
      </c>
      <c r="D42" s="29" t="s">
        <v>805</v>
      </c>
      <c r="E42" s="29" t="s">
        <v>806</v>
      </c>
      <c r="F42" s="29" t="s">
        <v>848</v>
      </c>
      <c r="G42" s="29" t="s">
        <v>32</v>
      </c>
      <c r="H42" s="29" t="s">
        <v>32</v>
      </c>
      <c r="I42" s="29" t="s">
        <v>849</v>
      </c>
      <c r="J42" s="29" t="s">
        <v>657</v>
      </c>
      <c r="K42" s="29">
        <v>250000</v>
      </c>
      <c r="L42" s="29">
        <f>COUNTIF(Sales[customer_id],Cust[[#This Row],[customer_id]])</f>
        <v>1</v>
      </c>
    </row>
    <row r="43" spans="1:12" x14ac:dyDescent="0.25">
      <c r="A43" s="29" t="s">
        <v>109</v>
      </c>
      <c r="B43" s="29" t="s">
        <v>705</v>
      </c>
      <c r="C43" s="29" t="s">
        <v>694</v>
      </c>
      <c r="D43" s="29" t="s">
        <v>850</v>
      </c>
      <c r="E43" s="29" t="s">
        <v>851</v>
      </c>
      <c r="F43" s="29" t="s">
        <v>852</v>
      </c>
      <c r="G43" s="29" t="s">
        <v>63</v>
      </c>
      <c r="H43" s="29" t="s">
        <v>63</v>
      </c>
      <c r="I43" s="29" t="s">
        <v>853</v>
      </c>
      <c r="J43" s="29" t="s">
        <v>716</v>
      </c>
      <c r="K43" s="29">
        <v>500000</v>
      </c>
      <c r="L43" s="29">
        <f>COUNTIF(Sales[customer_id],Cust[[#This Row],[customer_id]])</f>
        <v>1</v>
      </c>
    </row>
    <row r="44" spans="1:12" x14ac:dyDescent="0.25">
      <c r="A44" s="29" t="s">
        <v>233</v>
      </c>
      <c r="B44" s="29" t="s">
        <v>854</v>
      </c>
      <c r="C44" s="29" t="s">
        <v>838</v>
      </c>
      <c r="D44" s="29" t="s">
        <v>855</v>
      </c>
      <c r="E44" s="29" t="s">
        <v>856</v>
      </c>
      <c r="F44" s="29" t="s">
        <v>857</v>
      </c>
      <c r="G44" s="29" t="s">
        <v>32</v>
      </c>
      <c r="H44" s="29" t="s">
        <v>32</v>
      </c>
      <c r="I44" s="29" t="s">
        <v>858</v>
      </c>
      <c r="J44" s="29" t="s">
        <v>644</v>
      </c>
      <c r="K44" s="29">
        <v>150000</v>
      </c>
      <c r="L44" s="29">
        <f>COUNTIF(Sales[customer_id],Cust[[#This Row],[customer_id]])</f>
        <v>3</v>
      </c>
    </row>
    <row r="45" spans="1:12" x14ac:dyDescent="0.25">
      <c r="A45" s="29" t="s">
        <v>155</v>
      </c>
      <c r="B45" s="29" t="s">
        <v>664</v>
      </c>
      <c r="C45" s="29" t="s">
        <v>859</v>
      </c>
      <c r="D45" s="29" t="s">
        <v>860</v>
      </c>
      <c r="E45" s="29" t="s">
        <v>861</v>
      </c>
      <c r="F45" s="29" t="s">
        <v>862</v>
      </c>
      <c r="G45" s="29" t="s">
        <v>32</v>
      </c>
      <c r="H45" s="29" t="s">
        <v>32</v>
      </c>
      <c r="I45" s="29" t="s">
        <v>863</v>
      </c>
      <c r="J45" s="29" t="s">
        <v>644</v>
      </c>
      <c r="K45" s="29">
        <v>100000</v>
      </c>
      <c r="L45" s="29">
        <f>COUNTIF(Sales[customer_id],Cust[[#This Row],[customer_id]])</f>
        <v>5</v>
      </c>
    </row>
    <row r="46" spans="1:12" x14ac:dyDescent="0.25">
      <c r="A46" s="29" t="s">
        <v>67</v>
      </c>
      <c r="B46" s="29" t="s">
        <v>864</v>
      </c>
      <c r="C46" s="29" t="s">
        <v>865</v>
      </c>
      <c r="D46" s="29" t="s">
        <v>866</v>
      </c>
      <c r="E46" s="29" t="s">
        <v>867</v>
      </c>
      <c r="F46" s="29" t="s">
        <v>868</v>
      </c>
      <c r="G46" s="29" t="s">
        <v>63</v>
      </c>
      <c r="H46" s="29" t="s">
        <v>63</v>
      </c>
      <c r="I46" s="29" t="s">
        <v>869</v>
      </c>
      <c r="J46" s="29" t="s">
        <v>657</v>
      </c>
      <c r="K46" s="29">
        <v>100000</v>
      </c>
      <c r="L46" s="29">
        <f>COUNTIF(Sales[customer_id],Cust[[#This Row],[customer_id]])</f>
        <v>2</v>
      </c>
    </row>
    <row r="47" spans="1:12" x14ac:dyDescent="0.25">
      <c r="A47" s="29" t="s">
        <v>41</v>
      </c>
      <c r="B47" s="29" t="s">
        <v>674</v>
      </c>
      <c r="C47" s="29" t="s">
        <v>681</v>
      </c>
      <c r="D47" s="29" t="s">
        <v>870</v>
      </c>
      <c r="E47" s="29" t="s">
        <v>871</v>
      </c>
      <c r="F47" s="29" t="s">
        <v>872</v>
      </c>
      <c r="G47" s="29" t="s">
        <v>39</v>
      </c>
      <c r="H47" s="29" t="s">
        <v>642</v>
      </c>
      <c r="I47" s="29" t="s">
        <v>873</v>
      </c>
      <c r="J47" s="29" t="s">
        <v>657</v>
      </c>
      <c r="K47" s="29">
        <v>50000</v>
      </c>
      <c r="L47" s="29">
        <f>COUNTIF(Sales[customer_id],Cust[[#This Row],[customer_id]])</f>
        <v>4</v>
      </c>
    </row>
    <row r="48" spans="1:12" x14ac:dyDescent="0.25">
      <c r="A48" s="29" t="s">
        <v>396</v>
      </c>
      <c r="B48" s="29" t="s">
        <v>658</v>
      </c>
      <c r="C48" s="29" t="s">
        <v>706</v>
      </c>
      <c r="D48" s="29" t="s">
        <v>874</v>
      </c>
      <c r="E48" s="29" t="s">
        <v>875</v>
      </c>
      <c r="F48" s="29" t="s">
        <v>876</v>
      </c>
      <c r="G48" s="29" t="s">
        <v>54</v>
      </c>
      <c r="H48" s="29" t="s">
        <v>703</v>
      </c>
      <c r="I48" s="29" t="s">
        <v>877</v>
      </c>
      <c r="J48" s="29" t="s">
        <v>644</v>
      </c>
      <c r="K48" s="29">
        <v>250000</v>
      </c>
      <c r="L48" s="29">
        <f>COUNTIF(Sales[customer_id],Cust[[#This Row],[customer_id]])</f>
        <v>2</v>
      </c>
    </row>
    <row r="49" spans="1:12" x14ac:dyDescent="0.25">
      <c r="A49" s="29" t="s">
        <v>500</v>
      </c>
      <c r="B49" s="29" t="s">
        <v>710</v>
      </c>
      <c r="C49" s="29" t="s">
        <v>756</v>
      </c>
      <c r="D49" s="29" t="s">
        <v>878</v>
      </c>
      <c r="E49" s="29" t="s">
        <v>879</v>
      </c>
      <c r="F49" s="29"/>
      <c r="G49" s="29" t="s">
        <v>32</v>
      </c>
      <c r="H49" s="29" t="s">
        <v>32</v>
      </c>
      <c r="I49" s="29" t="s">
        <v>880</v>
      </c>
      <c r="J49" s="29" t="s">
        <v>716</v>
      </c>
      <c r="K49" s="29">
        <v>500000</v>
      </c>
      <c r="L49" s="29">
        <f>COUNTIF(Sales[customer_id],Cust[[#This Row],[customer_id]])</f>
        <v>2</v>
      </c>
    </row>
    <row r="50" spans="1:12" x14ac:dyDescent="0.25">
      <c r="A50" s="29" t="s">
        <v>149</v>
      </c>
      <c r="B50" s="29" t="s">
        <v>674</v>
      </c>
      <c r="C50" s="29" t="s">
        <v>711</v>
      </c>
      <c r="D50" s="29" t="s">
        <v>881</v>
      </c>
      <c r="E50" s="29" t="s">
        <v>882</v>
      </c>
      <c r="F50" s="29" t="s">
        <v>883</v>
      </c>
      <c r="G50" s="29" t="s">
        <v>43</v>
      </c>
      <c r="H50" s="29" t="s">
        <v>685</v>
      </c>
      <c r="I50" s="29" t="s">
        <v>884</v>
      </c>
      <c r="J50" s="29" t="s">
        <v>644</v>
      </c>
      <c r="K50" s="29">
        <v>100000</v>
      </c>
      <c r="L50" s="29">
        <f>COUNTIF(Sales[customer_id],Cust[[#This Row],[customer_id]])</f>
        <v>2</v>
      </c>
    </row>
    <row r="51" spans="1:12" x14ac:dyDescent="0.25">
      <c r="A51" s="29" t="s">
        <v>265</v>
      </c>
      <c r="B51" s="29" t="s">
        <v>885</v>
      </c>
      <c r="C51" s="29" t="s">
        <v>675</v>
      </c>
      <c r="D51" s="29" t="s">
        <v>886</v>
      </c>
      <c r="E51" s="29" t="s">
        <v>887</v>
      </c>
      <c r="F51" s="29" t="s">
        <v>888</v>
      </c>
      <c r="G51" s="29" t="s">
        <v>43</v>
      </c>
      <c r="H51" s="29" t="s">
        <v>685</v>
      </c>
      <c r="I51" s="29" t="s">
        <v>889</v>
      </c>
      <c r="J51" s="29" t="s">
        <v>716</v>
      </c>
      <c r="K51" s="29">
        <v>150000</v>
      </c>
      <c r="L51" s="29">
        <f>COUNTIF(Sales[customer_id],Cust[[#This Row],[customer_id]])</f>
        <v>2</v>
      </c>
    </row>
    <row r="52" spans="1:12" x14ac:dyDescent="0.25">
      <c r="A52" s="29" t="s">
        <v>104</v>
      </c>
      <c r="B52" s="29" t="s">
        <v>890</v>
      </c>
      <c r="C52" s="29" t="s">
        <v>771</v>
      </c>
      <c r="D52" s="29" t="s">
        <v>891</v>
      </c>
      <c r="E52" s="29" t="s">
        <v>892</v>
      </c>
      <c r="F52" s="29" t="s">
        <v>893</v>
      </c>
      <c r="G52" s="29" t="s">
        <v>43</v>
      </c>
      <c r="H52" s="29" t="s">
        <v>685</v>
      </c>
      <c r="I52" s="29" t="s">
        <v>894</v>
      </c>
      <c r="J52" s="29" t="s">
        <v>644</v>
      </c>
      <c r="K52" s="29">
        <v>50000</v>
      </c>
      <c r="L52" s="29">
        <f>COUNTIF(Sales[customer_id],Cust[[#This Row],[customer_id]])</f>
        <v>5</v>
      </c>
    </row>
    <row r="53" spans="1:12" x14ac:dyDescent="0.25">
      <c r="A53" s="29" t="s">
        <v>113</v>
      </c>
      <c r="B53" s="29" t="s">
        <v>705</v>
      </c>
      <c r="C53" s="29" t="s">
        <v>652</v>
      </c>
      <c r="D53" s="29" t="s">
        <v>895</v>
      </c>
      <c r="E53" s="29"/>
      <c r="F53" s="29" t="s">
        <v>896</v>
      </c>
      <c r="G53" s="29" t="s">
        <v>32</v>
      </c>
      <c r="H53" s="29" t="s">
        <v>32</v>
      </c>
      <c r="I53" s="29" t="s">
        <v>897</v>
      </c>
      <c r="J53" s="29" t="s">
        <v>644</v>
      </c>
      <c r="K53" s="29">
        <v>50000</v>
      </c>
      <c r="L53" s="29">
        <f>COUNTIF(Sales[customer_id],Cust[[#This Row],[customer_id]])</f>
        <v>3</v>
      </c>
    </row>
    <row r="54" spans="1:12" x14ac:dyDescent="0.25">
      <c r="A54" s="29" t="s">
        <v>145</v>
      </c>
      <c r="B54" s="29" t="s">
        <v>813</v>
      </c>
      <c r="C54" s="29" t="s">
        <v>681</v>
      </c>
      <c r="D54" s="29" t="s">
        <v>898</v>
      </c>
      <c r="E54" s="29" t="s">
        <v>899</v>
      </c>
      <c r="F54" s="29" t="s">
        <v>900</v>
      </c>
      <c r="G54" s="29" t="s">
        <v>54</v>
      </c>
      <c r="H54" s="29" t="s">
        <v>703</v>
      </c>
      <c r="I54" s="29" t="s">
        <v>901</v>
      </c>
      <c r="J54" s="29" t="s">
        <v>644</v>
      </c>
      <c r="K54" s="29">
        <v>50000</v>
      </c>
      <c r="L54" s="29">
        <f>COUNTIF(Sales[customer_id],Cust[[#This Row],[customer_id]])</f>
        <v>3</v>
      </c>
    </row>
    <row r="55" spans="1:12" x14ac:dyDescent="0.25">
      <c r="A55" s="29" t="s">
        <v>437</v>
      </c>
      <c r="B55" s="29" t="s">
        <v>732</v>
      </c>
      <c r="C55" s="29" t="s">
        <v>665</v>
      </c>
      <c r="D55" s="29" t="s">
        <v>902</v>
      </c>
      <c r="E55" s="29"/>
      <c r="F55" s="29" t="s">
        <v>903</v>
      </c>
      <c r="G55" s="29" t="s">
        <v>54</v>
      </c>
      <c r="H55" s="29" t="s">
        <v>703</v>
      </c>
      <c r="I55" s="29" t="s">
        <v>904</v>
      </c>
      <c r="J55" s="29" t="s">
        <v>657</v>
      </c>
      <c r="K55" s="29">
        <v>250000</v>
      </c>
      <c r="L55" s="29">
        <f>COUNTIF(Sales[customer_id],Cust[[#This Row],[customer_id]])</f>
        <v>3</v>
      </c>
    </row>
    <row r="56" spans="1:12" x14ac:dyDescent="0.25">
      <c r="A56" s="29" t="s">
        <v>385</v>
      </c>
      <c r="B56" s="29" t="s">
        <v>645</v>
      </c>
      <c r="C56" s="29" t="s">
        <v>905</v>
      </c>
      <c r="D56" s="29" t="s">
        <v>906</v>
      </c>
      <c r="E56" s="29" t="s">
        <v>907</v>
      </c>
      <c r="F56" s="29" t="s">
        <v>908</v>
      </c>
      <c r="G56" s="29" t="s">
        <v>43</v>
      </c>
      <c r="H56" s="29" t="s">
        <v>685</v>
      </c>
      <c r="I56" s="29"/>
      <c r="J56" s="29" t="s">
        <v>644</v>
      </c>
      <c r="K56" s="29">
        <v>250000</v>
      </c>
      <c r="L56" s="29">
        <f>COUNTIF(Sales[customer_id],Cust[[#This Row],[customer_id]])</f>
        <v>5</v>
      </c>
    </row>
    <row r="57" spans="1:12" x14ac:dyDescent="0.25">
      <c r="A57" s="29" t="s">
        <v>297</v>
      </c>
      <c r="B57" s="29" t="s">
        <v>909</v>
      </c>
      <c r="C57" s="29" t="s">
        <v>833</v>
      </c>
      <c r="D57" s="29" t="s">
        <v>910</v>
      </c>
      <c r="E57" s="29" t="s">
        <v>911</v>
      </c>
      <c r="F57" s="29" t="s">
        <v>912</v>
      </c>
      <c r="G57" s="29" t="s">
        <v>32</v>
      </c>
      <c r="H57" s="29" t="s">
        <v>32</v>
      </c>
      <c r="I57" s="29" t="s">
        <v>913</v>
      </c>
      <c r="J57" s="29" t="s">
        <v>716</v>
      </c>
      <c r="K57" s="29">
        <v>150000</v>
      </c>
      <c r="L57" s="29">
        <f>COUNTIF(Sales[customer_id],Cust[[#This Row],[customer_id]])</f>
        <v>3</v>
      </c>
    </row>
    <row r="58" spans="1:12" x14ac:dyDescent="0.25">
      <c r="A58" s="29" t="s">
        <v>172</v>
      </c>
      <c r="B58" s="29" t="s">
        <v>638</v>
      </c>
      <c r="C58" s="29" t="s">
        <v>675</v>
      </c>
      <c r="D58" s="29" t="s">
        <v>914</v>
      </c>
      <c r="E58" s="29" t="s">
        <v>915</v>
      </c>
      <c r="F58" s="29" t="s">
        <v>916</v>
      </c>
      <c r="G58" s="29" t="s">
        <v>43</v>
      </c>
      <c r="H58" s="29" t="s">
        <v>685</v>
      </c>
      <c r="I58" s="29" t="s">
        <v>917</v>
      </c>
      <c r="J58" s="29" t="s">
        <v>716</v>
      </c>
      <c r="K58" s="29">
        <v>500000</v>
      </c>
      <c r="L58" s="29">
        <f>COUNTIF(Sales[customer_id],Cust[[#This Row],[customer_id]])</f>
        <v>5</v>
      </c>
    </row>
    <row r="59" spans="1:12" x14ac:dyDescent="0.25">
      <c r="A59" s="29" t="s">
        <v>302</v>
      </c>
      <c r="B59" s="29" t="s">
        <v>890</v>
      </c>
      <c r="C59" s="29" t="s">
        <v>688</v>
      </c>
      <c r="D59" s="29" t="s">
        <v>918</v>
      </c>
      <c r="E59" s="29" t="s">
        <v>919</v>
      </c>
      <c r="F59" s="29" t="s">
        <v>920</v>
      </c>
      <c r="G59" s="29" t="s">
        <v>32</v>
      </c>
      <c r="H59" s="29" t="s">
        <v>32</v>
      </c>
      <c r="I59" s="29" t="s">
        <v>921</v>
      </c>
      <c r="J59" s="29" t="s">
        <v>644</v>
      </c>
      <c r="K59" s="29">
        <v>500000</v>
      </c>
      <c r="L59" s="29">
        <f>COUNTIF(Sales[customer_id],Cust[[#This Row],[customer_id]])</f>
        <v>2</v>
      </c>
    </row>
    <row r="60" spans="1:12" x14ac:dyDescent="0.25">
      <c r="A60" s="29" t="s">
        <v>253</v>
      </c>
      <c r="B60" s="29" t="s">
        <v>813</v>
      </c>
      <c r="C60" s="29" t="s">
        <v>865</v>
      </c>
      <c r="D60" s="29" t="s">
        <v>922</v>
      </c>
      <c r="E60" s="29" t="s">
        <v>923</v>
      </c>
      <c r="F60" s="29" t="s">
        <v>924</v>
      </c>
      <c r="G60" s="29" t="s">
        <v>32</v>
      </c>
      <c r="H60" s="29" t="s">
        <v>32</v>
      </c>
      <c r="I60" s="29" t="s">
        <v>925</v>
      </c>
      <c r="J60" s="29" t="s">
        <v>657</v>
      </c>
      <c r="K60" s="29">
        <v>250000</v>
      </c>
      <c r="L60" s="29">
        <f>COUNTIF(Sales[customer_id],Cust[[#This Row],[customer_id]])</f>
        <v>4</v>
      </c>
    </row>
    <row r="61" spans="1:12" x14ac:dyDescent="0.25">
      <c r="A61" s="29" t="s">
        <v>347</v>
      </c>
      <c r="B61" s="29" t="s">
        <v>885</v>
      </c>
      <c r="C61" s="29" t="s">
        <v>706</v>
      </c>
      <c r="D61" s="29" t="s">
        <v>926</v>
      </c>
      <c r="E61" s="29" t="s">
        <v>927</v>
      </c>
      <c r="F61" s="29" t="s">
        <v>928</v>
      </c>
      <c r="G61" s="29" t="s">
        <v>63</v>
      </c>
      <c r="H61" s="29" t="s">
        <v>63</v>
      </c>
      <c r="I61" s="29" t="s">
        <v>929</v>
      </c>
      <c r="J61" s="29" t="s">
        <v>644</v>
      </c>
      <c r="K61" s="29">
        <v>250000</v>
      </c>
      <c r="L61" s="29">
        <f>COUNTIF(Sales[customer_id],Cust[[#This Row],[customer_id]])</f>
        <v>3</v>
      </c>
    </row>
    <row r="62" spans="1:12" x14ac:dyDescent="0.25">
      <c r="A62" s="29" t="s">
        <v>263</v>
      </c>
      <c r="B62" s="29" t="s">
        <v>776</v>
      </c>
      <c r="C62" s="29" t="s">
        <v>681</v>
      </c>
      <c r="D62" s="29" t="s">
        <v>930</v>
      </c>
      <c r="E62" s="29" t="s">
        <v>931</v>
      </c>
      <c r="F62" s="29" t="s">
        <v>932</v>
      </c>
      <c r="G62" s="29" t="s">
        <v>63</v>
      </c>
      <c r="H62" s="29" t="s">
        <v>63</v>
      </c>
      <c r="I62" s="29" t="s">
        <v>933</v>
      </c>
      <c r="J62" s="29" t="s">
        <v>644</v>
      </c>
      <c r="K62" s="29">
        <v>100000</v>
      </c>
      <c r="L62" s="29">
        <f>COUNTIF(Sales[customer_id],Cust[[#This Row],[customer_id]])</f>
        <v>3</v>
      </c>
    </row>
    <row r="63" spans="1:12" x14ac:dyDescent="0.25">
      <c r="A63" s="29" t="s">
        <v>121</v>
      </c>
      <c r="B63" s="29" t="s">
        <v>934</v>
      </c>
      <c r="C63" s="29" t="s">
        <v>665</v>
      </c>
      <c r="D63" s="29" t="s">
        <v>935</v>
      </c>
      <c r="E63" s="29" t="s">
        <v>936</v>
      </c>
      <c r="F63" s="29" t="s">
        <v>937</v>
      </c>
      <c r="G63" s="29" t="s">
        <v>32</v>
      </c>
      <c r="H63" s="29" t="s">
        <v>32</v>
      </c>
      <c r="I63" s="29" t="s">
        <v>938</v>
      </c>
      <c r="J63" s="29" t="s">
        <v>644</v>
      </c>
      <c r="K63" s="29">
        <v>50000</v>
      </c>
      <c r="L63" s="29">
        <f>COUNTIF(Sales[customer_id],Cust[[#This Row],[customer_id]])</f>
        <v>4</v>
      </c>
    </row>
    <row r="64" spans="1:12" x14ac:dyDescent="0.25">
      <c r="A64" s="29" t="s">
        <v>235</v>
      </c>
      <c r="B64" s="29" t="s">
        <v>803</v>
      </c>
      <c r="C64" s="29" t="s">
        <v>761</v>
      </c>
      <c r="D64" s="29" t="s">
        <v>939</v>
      </c>
      <c r="E64" s="29" t="s">
        <v>940</v>
      </c>
      <c r="F64" s="29" t="s">
        <v>941</v>
      </c>
      <c r="G64" s="29" t="s">
        <v>43</v>
      </c>
      <c r="H64" s="29" t="s">
        <v>685</v>
      </c>
      <c r="I64" s="29" t="s">
        <v>942</v>
      </c>
      <c r="J64" s="29" t="s">
        <v>657</v>
      </c>
      <c r="K64" s="29">
        <v>150000</v>
      </c>
      <c r="L64" s="29">
        <f>COUNTIF(Sales[customer_id],Cust[[#This Row],[customer_id]])</f>
        <v>2</v>
      </c>
    </row>
    <row r="65" spans="1:12" x14ac:dyDescent="0.25">
      <c r="A65" s="29" t="s">
        <v>229</v>
      </c>
      <c r="B65" s="29" t="s">
        <v>638</v>
      </c>
      <c r="C65" s="29" t="s">
        <v>646</v>
      </c>
      <c r="D65" s="29" t="s">
        <v>943</v>
      </c>
      <c r="E65" s="29" t="s">
        <v>944</v>
      </c>
      <c r="F65" s="29" t="s">
        <v>945</v>
      </c>
      <c r="G65" s="29" t="s">
        <v>32</v>
      </c>
      <c r="H65" s="29" t="s">
        <v>32</v>
      </c>
      <c r="I65" s="29" t="s">
        <v>946</v>
      </c>
      <c r="J65" s="29" t="s">
        <v>644</v>
      </c>
      <c r="K65" s="29">
        <v>500000</v>
      </c>
      <c r="L65" s="29">
        <f>COUNTIF(Sales[customer_id],Cust[[#This Row],[customer_id]])</f>
        <v>4</v>
      </c>
    </row>
    <row r="66" spans="1:12" x14ac:dyDescent="0.25">
      <c r="A66" s="29" t="s">
        <v>99</v>
      </c>
      <c r="B66" s="29" t="s">
        <v>843</v>
      </c>
      <c r="C66" s="29" t="s">
        <v>675</v>
      </c>
      <c r="D66" s="29" t="s">
        <v>947</v>
      </c>
      <c r="E66" s="29" t="s">
        <v>948</v>
      </c>
      <c r="F66" s="29" t="s">
        <v>949</v>
      </c>
      <c r="G66" s="29" t="s">
        <v>54</v>
      </c>
      <c r="H66" s="29" t="s">
        <v>703</v>
      </c>
      <c r="I66" s="29" t="s">
        <v>950</v>
      </c>
      <c r="J66" s="29" t="s">
        <v>644</v>
      </c>
      <c r="K66" s="29">
        <v>150000</v>
      </c>
      <c r="L66" s="29">
        <f>COUNTIF(Sales[customer_id],Cust[[#This Row],[customer_id]])</f>
        <v>4</v>
      </c>
    </row>
    <row r="67" spans="1:12" x14ac:dyDescent="0.25">
      <c r="A67" s="29" t="s">
        <v>552</v>
      </c>
      <c r="B67" s="29" t="s">
        <v>864</v>
      </c>
      <c r="C67" s="29" t="s">
        <v>728</v>
      </c>
      <c r="D67" s="29" t="s">
        <v>951</v>
      </c>
      <c r="E67" s="29" t="s">
        <v>952</v>
      </c>
      <c r="F67" s="29" t="s">
        <v>953</v>
      </c>
      <c r="G67" s="29" t="s">
        <v>63</v>
      </c>
      <c r="H67" s="29" t="s">
        <v>63</v>
      </c>
      <c r="I67" s="29" t="s">
        <v>954</v>
      </c>
      <c r="J67" s="29" t="s">
        <v>644</v>
      </c>
      <c r="K67" s="29">
        <v>150000</v>
      </c>
      <c r="L67" s="29">
        <f>COUNTIF(Sales[customer_id],Cust[[#This Row],[customer_id]])</f>
        <v>1</v>
      </c>
    </row>
    <row r="68" spans="1:12" x14ac:dyDescent="0.25">
      <c r="A68" s="29" t="s">
        <v>52</v>
      </c>
      <c r="B68" s="29" t="s">
        <v>813</v>
      </c>
      <c r="C68" s="29" t="s">
        <v>865</v>
      </c>
      <c r="D68" s="29" t="s">
        <v>922</v>
      </c>
      <c r="E68" s="29" t="s">
        <v>923</v>
      </c>
      <c r="F68" s="29" t="s">
        <v>955</v>
      </c>
      <c r="G68" s="29" t="s">
        <v>43</v>
      </c>
      <c r="H68" s="29" t="s">
        <v>685</v>
      </c>
      <c r="I68" s="29" t="s">
        <v>956</v>
      </c>
      <c r="J68" s="29" t="s">
        <v>644</v>
      </c>
      <c r="K68" s="29">
        <v>500000</v>
      </c>
      <c r="L68" s="29">
        <f>COUNTIF(Sales[customer_id],Cust[[#This Row],[customer_id]])</f>
        <v>5</v>
      </c>
    </row>
    <row r="69" spans="1:12" x14ac:dyDescent="0.25">
      <c r="A69" s="29" t="s">
        <v>76</v>
      </c>
      <c r="B69" s="29" t="s">
        <v>957</v>
      </c>
      <c r="C69" s="29" t="s">
        <v>639</v>
      </c>
      <c r="D69" s="29" t="s">
        <v>958</v>
      </c>
      <c r="E69" s="29" t="s">
        <v>959</v>
      </c>
      <c r="F69" s="29" t="s">
        <v>960</v>
      </c>
      <c r="G69" s="29" t="s">
        <v>43</v>
      </c>
      <c r="H69" s="29" t="s">
        <v>685</v>
      </c>
      <c r="I69" s="29" t="s">
        <v>961</v>
      </c>
      <c r="J69" s="29" t="s">
        <v>716</v>
      </c>
      <c r="K69" s="29">
        <v>500000</v>
      </c>
      <c r="L69" s="29">
        <f>COUNTIF(Sales[customer_id],Cust[[#This Row],[customer_id]])</f>
        <v>2</v>
      </c>
    </row>
    <row r="70" spans="1:12" x14ac:dyDescent="0.25">
      <c r="A70" s="29" t="s">
        <v>342</v>
      </c>
      <c r="B70" s="29" t="s">
        <v>727</v>
      </c>
      <c r="C70" s="29" t="s">
        <v>639</v>
      </c>
      <c r="D70" s="29" t="s">
        <v>962</v>
      </c>
      <c r="E70" s="29" t="s">
        <v>963</v>
      </c>
      <c r="F70" s="29" t="s">
        <v>964</v>
      </c>
      <c r="G70" s="29" t="s">
        <v>32</v>
      </c>
      <c r="H70" s="29" t="s">
        <v>32</v>
      </c>
      <c r="I70" s="29" t="s">
        <v>792</v>
      </c>
      <c r="J70" s="29" t="s">
        <v>657</v>
      </c>
      <c r="K70" s="29">
        <v>500000</v>
      </c>
      <c r="L70" s="29">
        <f>COUNTIF(Sales[customer_id],Cust[[#This Row],[customer_id]])</f>
        <v>3</v>
      </c>
    </row>
    <row r="71" spans="1:12" x14ac:dyDescent="0.25">
      <c r="A71" s="29" t="s">
        <v>245</v>
      </c>
      <c r="B71" s="29" t="s">
        <v>818</v>
      </c>
      <c r="C71" s="29" t="s">
        <v>965</v>
      </c>
      <c r="D71" s="29" t="s">
        <v>966</v>
      </c>
      <c r="E71" s="29" t="s">
        <v>967</v>
      </c>
      <c r="F71" s="29" t="s">
        <v>968</v>
      </c>
      <c r="G71" s="29" t="s">
        <v>39</v>
      </c>
      <c r="H71" s="29" t="s">
        <v>642</v>
      </c>
      <c r="I71" s="29" t="s">
        <v>969</v>
      </c>
      <c r="J71" s="29" t="s">
        <v>644</v>
      </c>
      <c r="K71" s="29">
        <v>150000</v>
      </c>
      <c r="L71" s="29">
        <f>COUNTIF(Sales[customer_id],Cust[[#This Row],[customer_id]])</f>
        <v>5</v>
      </c>
    </row>
    <row r="72" spans="1:12" x14ac:dyDescent="0.25">
      <c r="A72" s="29" t="s">
        <v>174</v>
      </c>
      <c r="B72" s="29" t="s">
        <v>803</v>
      </c>
      <c r="C72" s="29" t="s">
        <v>717</v>
      </c>
      <c r="D72" s="29" t="s">
        <v>970</v>
      </c>
      <c r="E72" s="29" t="s">
        <v>971</v>
      </c>
      <c r="F72" s="29" t="s">
        <v>972</v>
      </c>
      <c r="G72" s="29" t="s">
        <v>32</v>
      </c>
      <c r="H72" s="29" t="s">
        <v>32</v>
      </c>
      <c r="I72" s="29" t="s">
        <v>973</v>
      </c>
      <c r="J72" s="29" t="s">
        <v>644</v>
      </c>
      <c r="K72" s="29">
        <v>500000</v>
      </c>
      <c r="L72" s="29">
        <f>COUNTIF(Sales[customer_id],Cust[[#This Row],[customer_id]])</f>
        <v>5</v>
      </c>
    </row>
    <row r="73" spans="1:12" x14ac:dyDescent="0.25">
      <c r="A73" s="29" t="s">
        <v>428</v>
      </c>
      <c r="B73" s="29" t="s">
        <v>890</v>
      </c>
      <c r="C73" s="29" t="s">
        <v>659</v>
      </c>
      <c r="D73" s="29" t="s">
        <v>974</v>
      </c>
      <c r="E73" s="29" t="s">
        <v>975</v>
      </c>
      <c r="F73" s="29" t="s">
        <v>976</v>
      </c>
      <c r="G73" s="29" t="s">
        <v>54</v>
      </c>
      <c r="H73" s="29" t="s">
        <v>703</v>
      </c>
      <c r="I73" s="29" t="s">
        <v>961</v>
      </c>
      <c r="J73" s="29" t="s">
        <v>716</v>
      </c>
      <c r="K73" s="29">
        <v>100000</v>
      </c>
      <c r="L73" s="29">
        <f>COUNTIF(Sales[customer_id],Cust[[#This Row],[customer_id]])</f>
        <v>1</v>
      </c>
    </row>
    <row r="74" spans="1:12" x14ac:dyDescent="0.25">
      <c r="A74" s="29" t="s">
        <v>275</v>
      </c>
      <c r="B74" s="29" t="s">
        <v>977</v>
      </c>
      <c r="C74" s="29" t="s">
        <v>706</v>
      </c>
      <c r="D74" s="29" t="s">
        <v>978</v>
      </c>
      <c r="E74" s="29" t="s">
        <v>979</v>
      </c>
      <c r="F74" s="29" t="s">
        <v>980</v>
      </c>
      <c r="G74" s="29" t="s">
        <v>32</v>
      </c>
      <c r="H74" s="29" t="s">
        <v>32</v>
      </c>
      <c r="I74" s="29" t="s">
        <v>981</v>
      </c>
      <c r="J74" s="29" t="s">
        <v>644</v>
      </c>
      <c r="K74" s="29">
        <v>50000</v>
      </c>
      <c r="L74" s="29">
        <f>COUNTIF(Sales[customer_id],Cust[[#This Row],[customer_id]])</f>
        <v>1</v>
      </c>
    </row>
    <row r="75" spans="1:12" x14ac:dyDescent="0.25">
      <c r="A75" s="29" t="s">
        <v>423</v>
      </c>
      <c r="B75" s="29" t="s">
        <v>909</v>
      </c>
      <c r="C75" s="29" t="s">
        <v>639</v>
      </c>
      <c r="D75" s="29" t="s">
        <v>982</v>
      </c>
      <c r="E75" s="29" t="s">
        <v>983</v>
      </c>
      <c r="F75" s="29" t="s">
        <v>984</v>
      </c>
      <c r="G75" s="29" t="s">
        <v>63</v>
      </c>
      <c r="H75" s="29" t="s">
        <v>63</v>
      </c>
      <c r="I75" s="29" t="s">
        <v>985</v>
      </c>
      <c r="J75" s="29" t="s">
        <v>716</v>
      </c>
      <c r="K75" s="29">
        <v>250000</v>
      </c>
      <c r="L75" s="29">
        <f>COUNTIF(Sales[customer_id],Cust[[#This Row],[customer_id]])</f>
        <v>2</v>
      </c>
    </row>
    <row r="76" spans="1:12" x14ac:dyDescent="0.25">
      <c r="A76" s="29" t="s">
        <v>58</v>
      </c>
      <c r="B76" s="29" t="s">
        <v>693</v>
      </c>
      <c r="C76" s="29" t="s">
        <v>905</v>
      </c>
      <c r="D76" s="29" t="s">
        <v>986</v>
      </c>
      <c r="E76" s="29"/>
      <c r="F76" s="29" t="s">
        <v>987</v>
      </c>
      <c r="G76" s="29" t="s">
        <v>54</v>
      </c>
      <c r="H76" s="29" t="s">
        <v>703</v>
      </c>
      <c r="I76" s="29" t="s">
        <v>988</v>
      </c>
      <c r="J76" s="29" t="s">
        <v>644</v>
      </c>
      <c r="K76" s="29">
        <v>50000</v>
      </c>
      <c r="L76" s="29">
        <f>COUNTIF(Sales[customer_id],Cust[[#This Row],[customer_id]])</f>
        <v>5</v>
      </c>
    </row>
    <row r="77" spans="1:12" x14ac:dyDescent="0.25">
      <c r="A77" s="29" t="s">
        <v>324</v>
      </c>
      <c r="B77" s="29" t="s">
        <v>989</v>
      </c>
      <c r="C77" s="29" t="s">
        <v>652</v>
      </c>
      <c r="D77" s="29" t="s">
        <v>990</v>
      </c>
      <c r="E77" s="29" t="s">
        <v>991</v>
      </c>
      <c r="F77" s="29" t="s">
        <v>992</v>
      </c>
      <c r="G77" s="29" t="s">
        <v>32</v>
      </c>
      <c r="H77" s="29" t="s">
        <v>32</v>
      </c>
      <c r="I77" s="29" t="s">
        <v>993</v>
      </c>
      <c r="J77" s="29" t="s">
        <v>657</v>
      </c>
      <c r="K77" s="29">
        <v>50000</v>
      </c>
      <c r="L77" s="29">
        <f>COUNTIF(Sales[customer_id],Cust[[#This Row],[customer_id]])</f>
        <v>4</v>
      </c>
    </row>
    <row r="78" spans="1:12" x14ac:dyDescent="0.25">
      <c r="A78" s="29" t="s">
        <v>218</v>
      </c>
      <c r="B78" s="29" t="s">
        <v>994</v>
      </c>
      <c r="C78" s="29" t="s">
        <v>706</v>
      </c>
      <c r="D78" s="29" t="s">
        <v>995</v>
      </c>
      <c r="E78" s="29" t="s">
        <v>996</v>
      </c>
      <c r="F78" s="29" t="s">
        <v>997</v>
      </c>
      <c r="G78" s="29" t="s">
        <v>54</v>
      </c>
      <c r="H78" s="29" t="s">
        <v>703</v>
      </c>
      <c r="I78" s="29" t="s">
        <v>998</v>
      </c>
      <c r="J78" s="29" t="s">
        <v>657</v>
      </c>
      <c r="K78" s="29">
        <v>150000</v>
      </c>
      <c r="L78" s="29">
        <f>COUNTIF(Sales[customer_id],Cust[[#This Row],[customer_id]])</f>
        <v>4</v>
      </c>
    </row>
    <row r="79" spans="1:12" x14ac:dyDescent="0.25">
      <c r="A79" s="29" t="s">
        <v>70</v>
      </c>
      <c r="B79" s="29" t="s">
        <v>885</v>
      </c>
      <c r="C79" s="29" t="s">
        <v>733</v>
      </c>
      <c r="D79" s="29" t="s">
        <v>999</v>
      </c>
      <c r="E79" s="29" t="s">
        <v>1000</v>
      </c>
      <c r="F79" s="29" t="s">
        <v>1001</v>
      </c>
      <c r="G79" s="29" t="s">
        <v>43</v>
      </c>
      <c r="H79" s="29" t="s">
        <v>685</v>
      </c>
      <c r="I79" s="29" t="s">
        <v>1002</v>
      </c>
      <c r="J79" s="29" t="s">
        <v>657</v>
      </c>
      <c r="K79" s="29">
        <v>250000</v>
      </c>
      <c r="L79" s="29">
        <f>COUNTIF(Sales[customer_id],Cust[[#This Row],[customer_id]])</f>
        <v>6</v>
      </c>
    </row>
    <row r="80" spans="1:12" x14ac:dyDescent="0.25">
      <c r="A80" s="29" t="s">
        <v>355</v>
      </c>
      <c r="B80" s="29" t="s">
        <v>638</v>
      </c>
      <c r="C80" s="29" t="s">
        <v>733</v>
      </c>
      <c r="D80" s="29" t="s">
        <v>1003</v>
      </c>
      <c r="E80" s="29" t="s">
        <v>1004</v>
      </c>
      <c r="F80" s="29" t="s">
        <v>1005</v>
      </c>
      <c r="G80" s="29" t="s">
        <v>54</v>
      </c>
      <c r="H80" s="29" t="s">
        <v>703</v>
      </c>
      <c r="I80" s="29" t="s">
        <v>1006</v>
      </c>
      <c r="J80" s="29" t="s">
        <v>644</v>
      </c>
      <c r="K80" s="29">
        <v>50000</v>
      </c>
      <c r="L80" s="29">
        <f>COUNTIF(Sales[customer_id],Cust[[#This Row],[customer_id]])</f>
        <v>4</v>
      </c>
    </row>
    <row r="81" spans="1:12" x14ac:dyDescent="0.25">
      <c r="A81" s="29" t="s">
        <v>237</v>
      </c>
      <c r="B81" s="29" t="s">
        <v>705</v>
      </c>
      <c r="C81" s="29" t="s">
        <v>728</v>
      </c>
      <c r="D81" s="29" t="s">
        <v>1007</v>
      </c>
      <c r="E81" s="29" t="s">
        <v>1008</v>
      </c>
      <c r="F81" s="29" t="s">
        <v>1009</v>
      </c>
      <c r="G81" s="29" t="s">
        <v>39</v>
      </c>
      <c r="H81" s="29" t="s">
        <v>642</v>
      </c>
      <c r="I81" s="29" t="s">
        <v>1010</v>
      </c>
      <c r="J81" s="29" t="s">
        <v>644</v>
      </c>
      <c r="K81" s="29">
        <v>50000</v>
      </c>
      <c r="L81" s="29">
        <f>COUNTIF(Sales[customer_id],Cust[[#This Row],[customer_id]])</f>
        <v>6</v>
      </c>
    </row>
    <row r="82" spans="1:12" x14ac:dyDescent="0.25">
      <c r="A82" s="29" t="s">
        <v>179</v>
      </c>
      <c r="B82" s="29" t="s">
        <v>890</v>
      </c>
      <c r="C82" s="29" t="s">
        <v>694</v>
      </c>
      <c r="D82" s="29" t="s">
        <v>1011</v>
      </c>
      <c r="E82" s="29" t="s">
        <v>1012</v>
      </c>
      <c r="F82" s="29" t="s">
        <v>1013</v>
      </c>
      <c r="G82" s="29" t="s">
        <v>63</v>
      </c>
      <c r="H82" s="29" t="s">
        <v>63</v>
      </c>
      <c r="I82" s="29" t="s">
        <v>1014</v>
      </c>
      <c r="J82" s="29" t="s">
        <v>657</v>
      </c>
      <c r="K82" s="29">
        <v>150000</v>
      </c>
      <c r="L82" s="29">
        <f>COUNTIF(Sales[customer_id],Cust[[#This Row],[customer_id]])</f>
        <v>5</v>
      </c>
    </row>
    <row r="83" spans="1:12" x14ac:dyDescent="0.25">
      <c r="A83" s="29" t="s">
        <v>451</v>
      </c>
      <c r="B83" s="29" t="s">
        <v>854</v>
      </c>
      <c r="C83" s="29" t="s">
        <v>733</v>
      </c>
      <c r="D83" s="29" t="s">
        <v>1015</v>
      </c>
      <c r="E83" s="29" t="s">
        <v>1016</v>
      </c>
      <c r="F83" s="29" t="s">
        <v>1017</v>
      </c>
      <c r="G83" s="29" t="s">
        <v>32</v>
      </c>
      <c r="H83" s="29" t="s">
        <v>32</v>
      </c>
      <c r="I83" s="29" t="s">
        <v>1018</v>
      </c>
      <c r="J83" s="29" t="s">
        <v>657</v>
      </c>
      <c r="K83" s="29">
        <v>50000</v>
      </c>
      <c r="L83" s="29">
        <f>COUNTIF(Sales[customer_id],Cust[[#This Row],[customer_id]])</f>
        <v>2</v>
      </c>
    </row>
    <row r="84" spans="1:12" x14ac:dyDescent="0.25">
      <c r="A84" s="29" t="s">
        <v>94</v>
      </c>
      <c r="B84" s="29" t="s">
        <v>843</v>
      </c>
      <c r="C84" s="29" t="s">
        <v>965</v>
      </c>
      <c r="D84" s="29" t="s">
        <v>1019</v>
      </c>
      <c r="E84" s="29" t="s">
        <v>1020</v>
      </c>
      <c r="F84" s="29" t="s">
        <v>1021</v>
      </c>
      <c r="G84" s="29" t="s">
        <v>63</v>
      </c>
      <c r="H84" s="29" t="s">
        <v>63</v>
      </c>
      <c r="I84" s="29" t="s">
        <v>1022</v>
      </c>
      <c r="J84" s="29" t="s">
        <v>716</v>
      </c>
      <c r="K84" s="29">
        <v>250000</v>
      </c>
      <c r="L84" s="29">
        <f>COUNTIF(Sales[customer_id],Cust[[#This Row],[customer_id]])</f>
        <v>5</v>
      </c>
    </row>
    <row r="85" spans="1:12" x14ac:dyDescent="0.25">
      <c r="A85" s="29" t="s">
        <v>418</v>
      </c>
      <c r="B85" s="29" t="s">
        <v>733</v>
      </c>
      <c r="C85" s="29" t="s">
        <v>688</v>
      </c>
      <c r="D85" s="29" t="s">
        <v>1023</v>
      </c>
      <c r="E85" s="29" t="s">
        <v>1024</v>
      </c>
      <c r="F85" s="29" t="s">
        <v>1025</v>
      </c>
      <c r="G85" s="29" t="s">
        <v>43</v>
      </c>
      <c r="H85" s="29" t="s">
        <v>685</v>
      </c>
      <c r="I85" s="29" t="s">
        <v>1026</v>
      </c>
      <c r="J85" s="29" t="s">
        <v>644</v>
      </c>
      <c r="K85" s="29">
        <v>100000</v>
      </c>
      <c r="L85" s="29">
        <f>COUNTIF(Sales[customer_id],Cust[[#This Row],[customer_id]])</f>
        <v>3</v>
      </c>
    </row>
    <row r="86" spans="1:12" x14ac:dyDescent="0.25">
      <c r="A86" s="29" t="s">
        <v>282</v>
      </c>
      <c r="B86" s="29" t="s">
        <v>803</v>
      </c>
      <c r="C86" s="29" t="s">
        <v>733</v>
      </c>
      <c r="D86" s="29" t="s">
        <v>1027</v>
      </c>
      <c r="E86" s="29" t="s">
        <v>1028</v>
      </c>
      <c r="F86" s="29" t="s">
        <v>1029</v>
      </c>
      <c r="G86" s="29" t="s">
        <v>32</v>
      </c>
      <c r="H86" s="29" t="s">
        <v>32</v>
      </c>
      <c r="I86" s="29" t="s">
        <v>1030</v>
      </c>
      <c r="J86" s="29" t="s">
        <v>644</v>
      </c>
      <c r="K86" s="29">
        <v>250000</v>
      </c>
      <c r="L86" s="29">
        <f>COUNTIF(Sales[customer_id],Cust[[#This Row],[customer_id]])</f>
        <v>4</v>
      </c>
    </row>
    <row r="87" spans="1:12" x14ac:dyDescent="0.25">
      <c r="A87" s="29" t="s">
        <v>191</v>
      </c>
      <c r="B87" s="29" t="s">
        <v>1031</v>
      </c>
      <c r="C87" s="29" t="s">
        <v>756</v>
      </c>
      <c r="D87" s="29" t="s">
        <v>1032</v>
      </c>
      <c r="E87" s="29" t="s">
        <v>1033</v>
      </c>
      <c r="F87" s="29" t="s">
        <v>1034</v>
      </c>
      <c r="G87" s="29" t="s">
        <v>63</v>
      </c>
      <c r="H87" s="29" t="s">
        <v>63</v>
      </c>
      <c r="I87" s="29" t="s">
        <v>1035</v>
      </c>
      <c r="J87" s="29" t="s">
        <v>657</v>
      </c>
      <c r="K87" s="29">
        <v>150000</v>
      </c>
      <c r="L87" s="29">
        <f>COUNTIF(Sales[customer_id],Cust[[#This Row],[customer_id]])</f>
        <v>4</v>
      </c>
    </row>
    <row r="88" spans="1:12" x14ac:dyDescent="0.25">
      <c r="A88" s="29" t="s">
        <v>231</v>
      </c>
      <c r="B88" s="29" t="s">
        <v>645</v>
      </c>
      <c r="C88" s="29" t="s">
        <v>639</v>
      </c>
      <c r="D88" s="29" t="s">
        <v>1036</v>
      </c>
      <c r="E88" s="29" t="s">
        <v>1037</v>
      </c>
      <c r="F88" s="29" t="s">
        <v>1038</v>
      </c>
      <c r="G88" s="29" t="s">
        <v>32</v>
      </c>
      <c r="H88" s="29" t="s">
        <v>32</v>
      </c>
      <c r="I88" s="29" t="s">
        <v>837</v>
      </c>
      <c r="J88" s="29" t="s">
        <v>657</v>
      </c>
      <c r="K88" s="29">
        <v>100000</v>
      </c>
      <c r="L88" s="29">
        <f>COUNTIF(Sales[customer_id],Cust[[#This Row],[customer_id]])</f>
        <v>4</v>
      </c>
    </row>
    <row r="89" spans="1:12" x14ac:dyDescent="0.25">
      <c r="A89" s="29" t="s">
        <v>86</v>
      </c>
      <c r="B89" s="29" t="s">
        <v>890</v>
      </c>
      <c r="C89" s="29" t="s">
        <v>1039</v>
      </c>
      <c r="D89" s="29" t="s">
        <v>1040</v>
      </c>
      <c r="E89" s="29" t="s">
        <v>1041</v>
      </c>
      <c r="F89" s="29" t="s">
        <v>1042</v>
      </c>
      <c r="G89" s="29" t="s">
        <v>63</v>
      </c>
      <c r="H89" s="29" t="s">
        <v>63</v>
      </c>
      <c r="I89" s="29" t="s">
        <v>1043</v>
      </c>
      <c r="J89" s="29" t="s">
        <v>657</v>
      </c>
      <c r="K89" s="29">
        <v>100000</v>
      </c>
      <c r="L89" s="29">
        <f>COUNTIF(Sales[customer_id],Cust[[#This Row],[customer_id]])</f>
        <v>4</v>
      </c>
    </row>
    <row r="90" spans="1:12" x14ac:dyDescent="0.25">
      <c r="A90" s="29" t="s">
        <v>181</v>
      </c>
      <c r="B90" s="29" t="s">
        <v>645</v>
      </c>
      <c r="C90" s="29" t="s">
        <v>659</v>
      </c>
      <c r="D90" s="29" t="s">
        <v>1044</v>
      </c>
      <c r="E90" s="29" t="s">
        <v>1045</v>
      </c>
      <c r="F90" s="29" t="s">
        <v>1046</v>
      </c>
      <c r="G90" s="29" t="s">
        <v>63</v>
      </c>
      <c r="H90" s="29" t="s">
        <v>63</v>
      </c>
      <c r="I90" s="29" t="s">
        <v>1047</v>
      </c>
      <c r="J90" s="29" t="s">
        <v>716</v>
      </c>
      <c r="K90" s="29">
        <v>500000</v>
      </c>
      <c r="L90" s="29">
        <f>COUNTIF(Sales[customer_id],Cust[[#This Row],[customer_id]])</f>
        <v>3</v>
      </c>
    </row>
    <row r="91" spans="1:12" x14ac:dyDescent="0.25">
      <c r="A91" s="29" t="s">
        <v>251</v>
      </c>
      <c r="B91" s="29" t="s">
        <v>977</v>
      </c>
      <c r="C91" s="29" t="s">
        <v>804</v>
      </c>
      <c r="D91" s="29" t="s">
        <v>1048</v>
      </c>
      <c r="E91" s="29" t="s">
        <v>1049</v>
      </c>
      <c r="F91" s="29" t="s">
        <v>1050</v>
      </c>
      <c r="G91" s="29" t="s">
        <v>32</v>
      </c>
      <c r="H91" s="29" t="s">
        <v>32</v>
      </c>
      <c r="I91" s="29" t="s">
        <v>1051</v>
      </c>
      <c r="J91" s="29" t="s">
        <v>644</v>
      </c>
      <c r="K91" s="29">
        <v>250000</v>
      </c>
      <c r="L91" s="29">
        <f>COUNTIF(Sales[customer_id],Cust[[#This Row],[customer_id]])</f>
        <v>2</v>
      </c>
    </row>
    <row r="92" spans="1:12" x14ac:dyDescent="0.25">
      <c r="A92" s="29" t="s">
        <v>138</v>
      </c>
      <c r="B92" s="29" t="s">
        <v>977</v>
      </c>
      <c r="C92" s="29" t="s">
        <v>665</v>
      </c>
      <c r="D92" s="29" t="s">
        <v>1052</v>
      </c>
      <c r="E92" s="29" t="s">
        <v>1053</v>
      </c>
      <c r="F92" s="29" t="s">
        <v>1054</v>
      </c>
      <c r="G92" s="29" t="s">
        <v>32</v>
      </c>
      <c r="H92" s="29" t="s">
        <v>32</v>
      </c>
      <c r="I92" s="29" t="s">
        <v>1055</v>
      </c>
      <c r="J92" s="29" t="s">
        <v>644</v>
      </c>
      <c r="K92" s="29">
        <v>250000</v>
      </c>
      <c r="L92" s="29">
        <f>COUNTIF(Sales[customer_id],Cust[[#This Row],[customer_id]])</f>
        <v>3</v>
      </c>
    </row>
    <row r="93" spans="1:12" x14ac:dyDescent="0.25">
      <c r="A93" s="29" t="s">
        <v>97</v>
      </c>
      <c r="B93" s="29" t="s">
        <v>771</v>
      </c>
      <c r="C93" s="29" t="s">
        <v>750</v>
      </c>
      <c r="D93" s="29" t="s">
        <v>1056</v>
      </c>
      <c r="E93" s="29" t="s">
        <v>1057</v>
      </c>
      <c r="F93" s="29" t="s">
        <v>1058</v>
      </c>
      <c r="G93" s="29" t="s">
        <v>32</v>
      </c>
      <c r="H93" s="29" t="s">
        <v>32</v>
      </c>
      <c r="I93" s="29" t="s">
        <v>1059</v>
      </c>
      <c r="J93" s="29" t="s">
        <v>644</v>
      </c>
      <c r="K93" s="29">
        <v>150000</v>
      </c>
      <c r="L93" s="29">
        <f>COUNTIF(Sales[customer_id],Cust[[#This Row],[customer_id]])</f>
        <v>4</v>
      </c>
    </row>
    <row r="94" spans="1:12" x14ac:dyDescent="0.25">
      <c r="A94" s="29" t="s">
        <v>227</v>
      </c>
      <c r="B94" s="29" t="s">
        <v>909</v>
      </c>
      <c r="C94" s="29" t="s">
        <v>965</v>
      </c>
      <c r="D94" s="29" t="s">
        <v>1060</v>
      </c>
      <c r="E94" s="29" t="s">
        <v>1061</v>
      </c>
      <c r="F94" s="29" t="s">
        <v>1062</v>
      </c>
      <c r="G94" s="29" t="s">
        <v>54</v>
      </c>
      <c r="H94" s="29" t="s">
        <v>703</v>
      </c>
      <c r="I94" s="29" t="s">
        <v>1063</v>
      </c>
      <c r="J94" s="29" t="s">
        <v>644</v>
      </c>
      <c r="K94" s="29">
        <v>500000</v>
      </c>
      <c r="L94" s="29">
        <f>COUNTIF(Sales[customer_id],Cust[[#This Row],[customer_id]])</f>
        <v>2</v>
      </c>
    </row>
    <row r="95" spans="1:12" x14ac:dyDescent="0.25">
      <c r="A95" s="29" t="s">
        <v>220</v>
      </c>
      <c r="B95" s="29" t="s">
        <v>1064</v>
      </c>
      <c r="C95" s="29" t="s">
        <v>965</v>
      </c>
      <c r="D95" s="29" t="s">
        <v>1065</v>
      </c>
      <c r="E95" s="29" t="s">
        <v>1066</v>
      </c>
      <c r="F95" s="29" t="s">
        <v>1067</v>
      </c>
      <c r="G95" s="29" t="s">
        <v>32</v>
      </c>
      <c r="H95" s="29" t="s">
        <v>32</v>
      </c>
      <c r="I95" s="29" t="s">
        <v>1068</v>
      </c>
      <c r="J95" s="29" t="s">
        <v>644</v>
      </c>
      <c r="K95" s="29">
        <v>150000</v>
      </c>
      <c r="L95" s="29">
        <f>COUNTIF(Sales[customer_id],Cust[[#This Row],[customer_id]])</f>
        <v>4</v>
      </c>
    </row>
    <row r="96" spans="1:12" x14ac:dyDescent="0.25">
      <c r="A96" s="29" t="s">
        <v>319</v>
      </c>
      <c r="B96" s="29" t="s">
        <v>710</v>
      </c>
      <c r="C96" s="29" t="s">
        <v>838</v>
      </c>
      <c r="D96" s="29" t="s">
        <v>1069</v>
      </c>
      <c r="E96" s="29" t="s">
        <v>1070</v>
      </c>
      <c r="F96" s="29" t="s">
        <v>1071</v>
      </c>
      <c r="G96" s="29" t="s">
        <v>63</v>
      </c>
      <c r="H96" s="29" t="s">
        <v>63</v>
      </c>
      <c r="I96" s="29" t="s">
        <v>1072</v>
      </c>
      <c r="J96" s="29" t="s">
        <v>657</v>
      </c>
      <c r="K96" s="29">
        <v>50000</v>
      </c>
      <c r="L96" s="29">
        <f>COUNTIF(Sales[customer_id],Cust[[#This Row],[customer_id]])</f>
        <v>5</v>
      </c>
    </row>
    <row r="97" spans="1:12" x14ac:dyDescent="0.25">
      <c r="A97" s="29" t="s">
        <v>169</v>
      </c>
      <c r="B97" s="29" t="s">
        <v>771</v>
      </c>
      <c r="C97" s="29" t="s">
        <v>722</v>
      </c>
      <c r="D97" s="29" t="s">
        <v>1073</v>
      </c>
      <c r="E97" s="29" t="s">
        <v>1074</v>
      </c>
      <c r="F97" s="29" t="s">
        <v>1075</v>
      </c>
      <c r="G97" s="29" t="s">
        <v>32</v>
      </c>
      <c r="H97" s="29" t="s">
        <v>32</v>
      </c>
      <c r="I97" s="29" t="s">
        <v>1076</v>
      </c>
      <c r="J97" s="29" t="s">
        <v>644</v>
      </c>
      <c r="K97" s="29">
        <v>100000</v>
      </c>
      <c r="L97" s="29">
        <f>COUNTIF(Sales[customer_id],Cust[[#This Row],[customer_id]])</f>
        <v>2</v>
      </c>
    </row>
    <row r="98" spans="1:12" x14ac:dyDescent="0.25">
      <c r="A98" s="29" t="s">
        <v>133</v>
      </c>
      <c r="B98" s="29" t="s">
        <v>733</v>
      </c>
      <c r="C98" s="29" t="s">
        <v>722</v>
      </c>
      <c r="D98" s="29" t="s">
        <v>1077</v>
      </c>
      <c r="E98" s="29" t="s">
        <v>1078</v>
      </c>
      <c r="F98" s="29" t="s">
        <v>1079</v>
      </c>
      <c r="G98" s="29" t="s">
        <v>54</v>
      </c>
      <c r="H98" s="29" t="s">
        <v>703</v>
      </c>
      <c r="I98" s="29" t="s">
        <v>1080</v>
      </c>
      <c r="J98" s="29" t="s">
        <v>644</v>
      </c>
      <c r="K98" s="29">
        <v>100000</v>
      </c>
      <c r="L98" s="29">
        <f>COUNTIF(Sales[customer_id],Cust[[#This Row],[customer_id]])</f>
        <v>5</v>
      </c>
    </row>
    <row r="99" spans="1:12" x14ac:dyDescent="0.25">
      <c r="A99" s="29" t="s">
        <v>260</v>
      </c>
      <c r="B99" s="29" t="s">
        <v>680</v>
      </c>
      <c r="C99" s="29" t="s">
        <v>771</v>
      </c>
      <c r="D99" s="29" t="s">
        <v>1081</v>
      </c>
      <c r="E99" s="29" t="s">
        <v>1082</v>
      </c>
      <c r="F99" s="29" t="s">
        <v>1083</v>
      </c>
      <c r="G99" s="29" t="s">
        <v>43</v>
      </c>
      <c r="H99" s="29" t="s">
        <v>685</v>
      </c>
      <c r="I99" s="29" t="s">
        <v>1084</v>
      </c>
      <c r="J99" s="29" t="s">
        <v>644</v>
      </c>
      <c r="K99" s="29">
        <v>500000</v>
      </c>
      <c r="L99" s="29">
        <f>COUNTIF(Sales[customer_id],Cust[[#This Row],[customer_id]])</f>
        <v>7</v>
      </c>
    </row>
    <row r="100" spans="1:12" x14ac:dyDescent="0.25">
      <c r="A100" s="29" t="s">
        <v>1085</v>
      </c>
      <c r="B100" s="29" t="s">
        <v>680</v>
      </c>
      <c r="C100" s="29" t="s">
        <v>728</v>
      </c>
      <c r="D100" s="29" t="s">
        <v>1086</v>
      </c>
      <c r="E100" s="29" t="s">
        <v>1087</v>
      </c>
      <c r="F100" s="29" t="s">
        <v>1088</v>
      </c>
      <c r="G100" s="29" t="s">
        <v>39</v>
      </c>
      <c r="H100" s="29" t="s">
        <v>642</v>
      </c>
      <c r="I100" s="29" t="s">
        <v>1089</v>
      </c>
      <c r="J100" s="29" t="s">
        <v>644</v>
      </c>
      <c r="K100" s="29">
        <v>150000</v>
      </c>
      <c r="L100" s="29">
        <f>COUNTIF(Sales[customer_id],Cust[[#This Row],[customer_id]])</f>
        <v>0</v>
      </c>
    </row>
    <row r="101" spans="1:12" x14ac:dyDescent="0.25">
      <c r="A101" s="29" t="s">
        <v>344</v>
      </c>
      <c r="B101" s="29" t="s">
        <v>727</v>
      </c>
      <c r="C101" s="29" t="s">
        <v>905</v>
      </c>
      <c r="D101" s="29" t="s">
        <v>1090</v>
      </c>
      <c r="E101" s="29" t="s">
        <v>1091</v>
      </c>
      <c r="F101" s="29" t="s">
        <v>1092</v>
      </c>
      <c r="G101" s="29" t="s">
        <v>32</v>
      </c>
      <c r="H101" s="29" t="s">
        <v>32</v>
      </c>
      <c r="I101" s="29" t="s">
        <v>1093</v>
      </c>
      <c r="J101" s="29" t="s">
        <v>644</v>
      </c>
      <c r="K101" s="29">
        <v>500000</v>
      </c>
      <c r="L101" s="29">
        <f>COUNTIF(Sales[customer_id],Cust[[#This Row],[customer_id]])</f>
        <v>7</v>
      </c>
    </row>
    <row r="102" spans="1:12" x14ac:dyDescent="0.25">
      <c r="A102" s="29" t="s">
        <v>322</v>
      </c>
      <c r="B102" s="29" t="s">
        <v>710</v>
      </c>
      <c r="C102" s="29" t="s">
        <v>859</v>
      </c>
      <c r="D102" s="29" t="s">
        <v>1094</v>
      </c>
      <c r="E102" s="29" t="s">
        <v>1095</v>
      </c>
      <c r="F102" s="29" t="s">
        <v>1096</v>
      </c>
      <c r="G102" s="29" t="s">
        <v>43</v>
      </c>
      <c r="H102" s="29" t="s">
        <v>685</v>
      </c>
      <c r="I102" s="29" t="s">
        <v>1097</v>
      </c>
      <c r="J102" s="29" t="s">
        <v>644</v>
      </c>
      <c r="K102" s="29">
        <v>100000</v>
      </c>
      <c r="L102" s="29">
        <f>COUNTIF(Sales[customer_id],Cust[[#This Row],[customer_id]])</f>
        <v>3</v>
      </c>
    </row>
    <row r="103" spans="1:12" x14ac:dyDescent="0.25">
      <c r="A103" s="29" t="s">
        <v>48</v>
      </c>
      <c r="B103" s="29" t="s">
        <v>994</v>
      </c>
      <c r="C103" s="29" t="s">
        <v>733</v>
      </c>
      <c r="D103" s="29" t="s">
        <v>1098</v>
      </c>
      <c r="E103" s="29" t="s">
        <v>1099</v>
      </c>
      <c r="F103" s="29" t="s">
        <v>1100</v>
      </c>
      <c r="G103" s="29" t="s">
        <v>43</v>
      </c>
      <c r="H103" s="29" t="s">
        <v>685</v>
      </c>
      <c r="I103" s="29" t="s">
        <v>1101</v>
      </c>
      <c r="J103" s="29" t="s">
        <v>716</v>
      </c>
      <c r="K103" s="29">
        <v>250000</v>
      </c>
      <c r="L103" s="29">
        <f>COUNTIF(Sales[customer_id],Cust[[#This Row],[customer_id]])</f>
        <v>6</v>
      </c>
    </row>
    <row r="104" spans="1:12" x14ac:dyDescent="0.25">
      <c r="A104" s="29" t="s">
        <v>79</v>
      </c>
      <c r="B104" s="29" t="s">
        <v>771</v>
      </c>
      <c r="C104" s="29" t="s">
        <v>717</v>
      </c>
      <c r="D104" s="29" t="s">
        <v>1102</v>
      </c>
      <c r="E104" s="29" t="s">
        <v>1103</v>
      </c>
      <c r="F104" s="29" t="s">
        <v>1104</v>
      </c>
      <c r="G104" s="29" t="s">
        <v>32</v>
      </c>
      <c r="H104" s="29" t="s">
        <v>32</v>
      </c>
      <c r="I104" s="29" t="s">
        <v>1105</v>
      </c>
      <c r="J104" s="29" t="s">
        <v>644</v>
      </c>
      <c r="K104" s="29">
        <v>500000</v>
      </c>
      <c r="L104" s="29">
        <f>COUNTIF(Sales[customer_id],Cust[[#This Row],[customer_id]])</f>
        <v>4</v>
      </c>
    </row>
    <row r="105" spans="1:12" x14ac:dyDescent="0.25">
      <c r="A105" s="29" t="s">
        <v>143</v>
      </c>
      <c r="B105" s="29" t="s">
        <v>739</v>
      </c>
      <c r="C105" s="29" t="s">
        <v>771</v>
      </c>
      <c r="D105" s="29" t="s">
        <v>1106</v>
      </c>
      <c r="E105" s="29" t="s">
        <v>1107</v>
      </c>
      <c r="F105" s="29" t="s">
        <v>1108</v>
      </c>
      <c r="G105" s="29" t="s">
        <v>54</v>
      </c>
      <c r="H105" s="29" t="s">
        <v>703</v>
      </c>
      <c r="I105" s="29" t="s">
        <v>1109</v>
      </c>
      <c r="J105" s="29" t="s">
        <v>716</v>
      </c>
      <c r="K105" s="29">
        <v>250000</v>
      </c>
      <c r="L105" s="29">
        <f>COUNTIF(Sales[customer_id],Cust[[#This Row],[customer_id]])</f>
        <v>4</v>
      </c>
    </row>
    <row r="106" spans="1:12" x14ac:dyDescent="0.25">
      <c r="A106" s="29" t="s">
        <v>430</v>
      </c>
      <c r="B106" s="29" t="s">
        <v>909</v>
      </c>
      <c r="C106" s="29" t="s">
        <v>722</v>
      </c>
      <c r="D106" s="29" t="s">
        <v>1110</v>
      </c>
      <c r="E106" s="29" t="s">
        <v>1111</v>
      </c>
      <c r="F106" s="29"/>
      <c r="G106" s="29" t="s">
        <v>54</v>
      </c>
      <c r="H106" s="29" t="s">
        <v>703</v>
      </c>
      <c r="I106" s="29" t="s">
        <v>1112</v>
      </c>
      <c r="J106" s="29" t="s">
        <v>716</v>
      </c>
      <c r="K106" s="29">
        <v>150000</v>
      </c>
      <c r="L106" s="29">
        <f>COUNTIF(Sales[customer_id],Cust[[#This Row],[customer_id]])</f>
        <v>2</v>
      </c>
    </row>
    <row r="107" spans="1:12" x14ac:dyDescent="0.25">
      <c r="A107" s="29" t="s">
        <v>186</v>
      </c>
      <c r="B107" s="29" t="s">
        <v>1113</v>
      </c>
      <c r="C107" s="29" t="s">
        <v>699</v>
      </c>
      <c r="D107" s="29" t="s">
        <v>1114</v>
      </c>
      <c r="E107" s="29" t="s">
        <v>1115</v>
      </c>
      <c r="F107" s="29" t="s">
        <v>1116</v>
      </c>
      <c r="G107" s="29" t="s">
        <v>43</v>
      </c>
      <c r="H107" s="29" t="s">
        <v>685</v>
      </c>
      <c r="I107" s="29" t="s">
        <v>1043</v>
      </c>
      <c r="J107" s="29" t="s">
        <v>657</v>
      </c>
      <c r="K107" s="29">
        <v>500000</v>
      </c>
      <c r="L107" s="29">
        <f>COUNTIF(Sales[customer_id],Cust[[#This Row],[customer_id]])</f>
        <v>3</v>
      </c>
    </row>
    <row r="108" spans="1:12" x14ac:dyDescent="0.25">
      <c r="A108" s="29" t="s">
        <v>278</v>
      </c>
      <c r="B108" s="29" t="s">
        <v>934</v>
      </c>
      <c r="C108" s="29" t="s">
        <v>665</v>
      </c>
      <c r="D108" s="29" t="s">
        <v>935</v>
      </c>
      <c r="E108" s="29" t="s">
        <v>936</v>
      </c>
      <c r="F108" s="29" t="s">
        <v>1117</v>
      </c>
      <c r="G108" s="29" t="s">
        <v>32</v>
      </c>
      <c r="H108" s="29" t="s">
        <v>32</v>
      </c>
      <c r="I108" s="29" t="s">
        <v>1118</v>
      </c>
      <c r="J108" s="29" t="s">
        <v>644</v>
      </c>
      <c r="K108" s="29">
        <v>150000</v>
      </c>
      <c r="L108" s="29">
        <f>COUNTIF(Sales[customer_id],Cust[[#This Row],[customer_id]])</f>
        <v>6</v>
      </c>
    </row>
    <row r="109" spans="1:12" x14ac:dyDescent="0.25">
      <c r="A109" s="29" t="s">
        <v>272</v>
      </c>
      <c r="B109" s="29" t="s">
        <v>989</v>
      </c>
      <c r="C109" s="29" t="s">
        <v>733</v>
      </c>
      <c r="D109" s="29" t="s">
        <v>1119</v>
      </c>
      <c r="E109" s="29" t="s">
        <v>1120</v>
      </c>
      <c r="F109" s="29" t="s">
        <v>1121</v>
      </c>
      <c r="G109" s="29" t="s">
        <v>32</v>
      </c>
      <c r="H109" s="29" t="s">
        <v>32</v>
      </c>
      <c r="I109" s="29" t="s">
        <v>1122</v>
      </c>
      <c r="J109" s="29" t="s">
        <v>644</v>
      </c>
      <c r="K109" s="29">
        <v>50000</v>
      </c>
      <c r="L109" s="29">
        <f>COUNTIF(Sales[customer_id],Cust[[#This Row],[customer_id]])</f>
        <v>3</v>
      </c>
    </row>
    <row r="110" spans="1:12" x14ac:dyDescent="0.25">
      <c r="A110" s="29" t="s">
        <v>197</v>
      </c>
      <c r="B110" s="29" t="s">
        <v>909</v>
      </c>
      <c r="C110" s="29" t="s">
        <v>699</v>
      </c>
      <c r="D110" s="29" t="s">
        <v>1123</v>
      </c>
      <c r="E110" s="29" t="s">
        <v>1124</v>
      </c>
      <c r="F110" s="29" t="s">
        <v>1125</v>
      </c>
      <c r="G110" s="29" t="s">
        <v>63</v>
      </c>
      <c r="H110" s="29" t="s">
        <v>63</v>
      </c>
      <c r="I110" s="29" t="s">
        <v>1126</v>
      </c>
      <c r="J110" s="29" t="s">
        <v>657</v>
      </c>
      <c r="K110" s="29">
        <v>500000</v>
      </c>
      <c r="L110" s="29">
        <f>COUNTIF(Sales[customer_id],Cust[[#This Row],[customer_id]])</f>
        <v>3</v>
      </c>
    </row>
    <row r="111" spans="1:12" x14ac:dyDescent="0.25">
      <c r="A111" s="29" t="s">
        <v>107</v>
      </c>
      <c r="B111" s="29" t="s">
        <v>755</v>
      </c>
      <c r="C111" s="29" t="s">
        <v>681</v>
      </c>
      <c r="D111" s="29" t="s">
        <v>1127</v>
      </c>
      <c r="E111" s="29" t="s">
        <v>1128</v>
      </c>
      <c r="F111" s="29" t="s">
        <v>1129</v>
      </c>
      <c r="G111" s="29" t="s">
        <v>39</v>
      </c>
      <c r="H111" s="29" t="s">
        <v>642</v>
      </c>
      <c r="I111" s="29" t="s">
        <v>1130</v>
      </c>
      <c r="J111" s="29" t="s">
        <v>716</v>
      </c>
      <c r="K111" s="29">
        <v>250000</v>
      </c>
      <c r="L111" s="29">
        <f>COUNTIF(Sales[customer_id],Cust[[#This Row],[customer_id]])</f>
        <v>4</v>
      </c>
    </row>
    <row r="112" spans="1:12" x14ac:dyDescent="0.25">
      <c r="A112" s="29" t="s">
        <v>334</v>
      </c>
      <c r="B112" s="29" t="s">
        <v>803</v>
      </c>
      <c r="C112" s="29" t="s">
        <v>711</v>
      </c>
      <c r="D112" s="29" t="s">
        <v>1131</v>
      </c>
      <c r="E112" s="29" t="s">
        <v>1132</v>
      </c>
      <c r="F112" s="29" t="s">
        <v>1133</v>
      </c>
      <c r="G112" s="29" t="s">
        <v>32</v>
      </c>
      <c r="H112" s="29" t="s">
        <v>32</v>
      </c>
      <c r="I112" s="29" t="s">
        <v>1134</v>
      </c>
      <c r="J112" s="29" t="s">
        <v>657</v>
      </c>
      <c r="K112" s="29">
        <v>100000</v>
      </c>
      <c r="L112" s="29">
        <f>COUNTIF(Sales[customer_id],Cust[[#This Row],[customer_id]])</f>
        <v>7</v>
      </c>
    </row>
    <row r="113" spans="1:12" x14ac:dyDescent="0.25">
      <c r="A113" s="29" t="s">
        <v>157</v>
      </c>
      <c r="B113" s="29" t="s">
        <v>664</v>
      </c>
      <c r="C113" s="29" t="s">
        <v>965</v>
      </c>
      <c r="D113" s="29" t="s">
        <v>1135</v>
      </c>
      <c r="E113" s="29" t="s">
        <v>1136</v>
      </c>
      <c r="F113" s="29" t="s">
        <v>1137</v>
      </c>
      <c r="G113" s="29" t="s">
        <v>43</v>
      </c>
      <c r="H113" s="29" t="s">
        <v>685</v>
      </c>
      <c r="I113" s="29" t="s">
        <v>1138</v>
      </c>
      <c r="J113" s="29" t="s">
        <v>644</v>
      </c>
      <c r="K113" s="29">
        <v>150000</v>
      </c>
      <c r="L113" s="29">
        <f>COUNTIF(Sales[customer_id],Cust[[#This Row],[customer_id]])</f>
        <v>4</v>
      </c>
    </row>
    <row r="114" spans="1:12" x14ac:dyDescent="0.25">
      <c r="A114" s="29" t="s">
        <v>242</v>
      </c>
      <c r="B114" s="29" t="s">
        <v>687</v>
      </c>
      <c r="C114" s="29" t="s">
        <v>688</v>
      </c>
      <c r="D114" s="29" t="s">
        <v>689</v>
      </c>
      <c r="E114" s="29" t="s">
        <v>690</v>
      </c>
      <c r="F114" s="29" t="s">
        <v>1139</v>
      </c>
      <c r="G114" s="29" t="s">
        <v>32</v>
      </c>
      <c r="H114" s="29" t="s">
        <v>32</v>
      </c>
      <c r="I114" s="29" t="s">
        <v>1140</v>
      </c>
      <c r="J114" s="29" t="s">
        <v>657</v>
      </c>
      <c r="K114" s="29">
        <v>500000</v>
      </c>
      <c r="L114" s="29">
        <f>COUNTIF(Sales[customer_id],Cust[[#This Row],[customer_id]])</f>
        <v>3</v>
      </c>
    </row>
    <row r="115" spans="1:12" x14ac:dyDescent="0.25">
      <c r="A115" s="29" t="s">
        <v>240</v>
      </c>
      <c r="B115" s="29" t="s">
        <v>755</v>
      </c>
      <c r="C115" s="29" t="s">
        <v>652</v>
      </c>
      <c r="D115" s="29" t="s">
        <v>1141</v>
      </c>
      <c r="E115" s="29" t="s">
        <v>1142</v>
      </c>
      <c r="F115" s="29" t="s">
        <v>1143</v>
      </c>
      <c r="G115" s="29" t="s">
        <v>39</v>
      </c>
      <c r="H115" s="29" t="s">
        <v>642</v>
      </c>
      <c r="I115" s="29" t="s">
        <v>1144</v>
      </c>
      <c r="J115" s="29" t="s">
        <v>716</v>
      </c>
      <c r="K115" s="29">
        <v>150000</v>
      </c>
      <c r="L115" s="29">
        <f>COUNTIF(Sales[customer_id],Cust[[#This Row],[customer_id]])</f>
        <v>3</v>
      </c>
    </row>
    <row r="116" spans="1:12" x14ac:dyDescent="0.25">
      <c r="A116" s="29" t="s">
        <v>205</v>
      </c>
      <c r="B116" s="29" t="s">
        <v>977</v>
      </c>
      <c r="C116" s="29" t="s">
        <v>665</v>
      </c>
      <c r="D116" s="29" t="s">
        <v>1052</v>
      </c>
      <c r="E116" s="29" t="s">
        <v>1053</v>
      </c>
      <c r="F116" s="29" t="s">
        <v>1145</v>
      </c>
      <c r="G116" s="29" t="s">
        <v>54</v>
      </c>
      <c r="H116" s="29" t="s">
        <v>703</v>
      </c>
      <c r="I116" s="29" t="s">
        <v>1146</v>
      </c>
      <c r="J116" s="29" t="s">
        <v>644</v>
      </c>
      <c r="K116" s="29">
        <v>50000</v>
      </c>
      <c r="L116" s="29">
        <f>COUNTIF(Sales[customer_id],Cust[[#This Row],[customer_id]])</f>
        <v>2</v>
      </c>
    </row>
    <row r="117" spans="1:12" x14ac:dyDescent="0.25">
      <c r="A117" s="29" t="s">
        <v>102</v>
      </c>
      <c r="B117" s="29" t="s">
        <v>651</v>
      </c>
      <c r="C117" s="29" t="s">
        <v>652</v>
      </c>
      <c r="D117" s="29" t="s">
        <v>653</v>
      </c>
      <c r="E117" s="29" t="s">
        <v>654</v>
      </c>
      <c r="F117" s="29" t="s">
        <v>1147</v>
      </c>
      <c r="G117" s="29" t="s">
        <v>39</v>
      </c>
      <c r="H117" s="29" t="s">
        <v>642</v>
      </c>
      <c r="I117" s="29" t="s">
        <v>1148</v>
      </c>
      <c r="J117" s="29" t="s">
        <v>657</v>
      </c>
      <c r="K117" s="29">
        <v>50000</v>
      </c>
      <c r="L117" s="29">
        <f>COUNTIF(Sales[customer_id],Cust[[#This Row],[customer_id]])</f>
        <v>7</v>
      </c>
    </row>
    <row r="118" spans="1:12" x14ac:dyDescent="0.25">
      <c r="A118" s="29" t="s">
        <v>135</v>
      </c>
      <c r="B118" s="29" t="s">
        <v>693</v>
      </c>
      <c r="C118" s="29" t="s">
        <v>722</v>
      </c>
      <c r="D118" s="29" t="s">
        <v>1149</v>
      </c>
      <c r="E118" s="29" t="s">
        <v>1150</v>
      </c>
      <c r="F118" s="29" t="s">
        <v>1151</v>
      </c>
      <c r="G118" s="29" t="s">
        <v>54</v>
      </c>
      <c r="H118" s="29" t="s">
        <v>703</v>
      </c>
      <c r="I118" s="29" t="s">
        <v>1152</v>
      </c>
      <c r="J118" s="29" t="s">
        <v>657</v>
      </c>
      <c r="K118" s="29">
        <v>250000</v>
      </c>
      <c r="L118" s="29">
        <f>COUNTIF(Sales[customer_id],Cust[[#This Row],[customer_id]])</f>
        <v>1</v>
      </c>
    </row>
    <row r="119" spans="1:12" x14ac:dyDescent="0.25">
      <c r="A119" s="29" t="s">
        <v>280</v>
      </c>
      <c r="B119" s="29" t="s">
        <v>698</v>
      </c>
      <c r="C119" s="29" t="s">
        <v>761</v>
      </c>
      <c r="D119" s="29" t="s">
        <v>1153</v>
      </c>
      <c r="E119" s="29" t="s">
        <v>1154</v>
      </c>
      <c r="F119" s="29" t="s">
        <v>1155</v>
      </c>
      <c r="G119" s="29" t="s">
        <v>43</v>
      </c>
      <c r="H119" s="29" t="s">
        <v>685</v>
      </c>
      <c r="I119" s="29" t="s">
        <v>1156</v>
      </c>
      <c r="J119" s="29" t="s">
        <v>644</v>
      </c>
      <c r="K119" s="29">
        <v>150000</v>
      </c>
      <c r="L119" s="29">
        <f>COUNTIF(Sales[customer_id],Cust[[#This Row],[customer_id]])</f>
        <v>4</v>
      </c>
    </row>
    <row r="120" spans="1:12" x14ac:dyDescent="0.25">
      <c r="A120" s="29" t="s">
        <v>159</v>
      </c>
      <c r="B120" s="29" t="s">
        <v>957</v>
      </c>
      <c r="C120" s="29" t="s">
        <v>1039</v>
      </c>
      <c r="D120" s="29" t="s">
        <v>1157</v>
      </c>
      <c r="E120" s="29" t="s">
        <v>1158</v>
      </c>
      <c r="F120" s="29"/>
      <c r="G120" s="29" t="s">
        <v>32</v>
      </c>
      <c r="H120" s="29" t="s">
        <v>32</v>
      </c>
      <c r="I120" s="29" t="s">
        <v>1159</v>
      </c>
      <c r="J120" s="29" t="s">
        <v>657</v>
      </c>
      <c r="K120" s="29">
        <v>250000</v>
      </c>
      <c r="L120" s="29">
        <f>COUNTIF(Sales[customer_id],Cust[[#This Row],[customer_id]])</f>
        <v>3</v>
      </c>
    </row>
    <row r="121" spans="1:12" x14ac:dyDescent="0.25">
      <c r="A121" s="30" t="s">
        <v>305</v>
      </c>
      <c r="B121" s="30" t="s">
        <v>680</v>
      </c>
      <c r="C121" s="30" t="s">
        <v>711</v>
      </c>
      <c r="D121" s="30" t="s">
        <v>1160</v>
      </c>
      <c r="E121" s="30" t="s">
        <v>1161</v>
      </c>
      <c r="F121" s="30" t="s">
        <v>1162</v>
      </c>
      <c r="G121" s="30" t="s">
        <v>54</v>
      </c>
      <c r="H121" s="30" t="s">
        <v>703</v>
      </c>
      <c r="I121" s="30" t="s">
        <v>1163</v>
      </c>
      <c r="J121" s="30" t="s">
        <v>644</v>
      </c>
      <c r="K121" s="30">
        <v>250000</v>
      </c>
      <c r="L121" s="30">
        <f>COUNTIF(Sales[customer_id],Cust[[#This Row],[customer_id]])</f>
        <v>4</v>
      </c>
    </row>
  </sheetData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07"/>
  <sheetViews>
    <sheetView tabSelected="1" topLeftCell="L1" zoomScale="119" zoomScaleNormal="100" workbookViewId="0">
      <pane ySplit="1" topLeftCell="A2" activePane="bottomLeft" state="frozen"/>
      <selection pane="bottomLeft" activeCell="P6" sqref="P6"/>
    </sheetView>
  </sheetViews>
  <sheetFormatPr defaultColWidth="8.7109375" defaultRowHeight="15" x14ac:dyDescent="0.25"/>
  <cols>
    <col min="1" max="5" width="13" customWidth="1"/>
    <col min="6" max="6" width="22" customWidth="1"/>
    <col min="7" max="8" width="13" customWidth="1"/>
    <col min="9" max="9" width="17" customWidth="1"/>
    <col min="10" max="10" width="16" customWidth="1"/>
    <col min="11" max="11" width="15" customWidth="1"/>
    <col min="12" max="12" width="16" customWidth="1"/>
    <col min="13" max="13" width="15" customWidth="1"/>
    <col min="15" max="15" width="19.5703125" customWidth="1"/>
    <col min="16" max="16" width="19" customWidth="1"/>
    <col min="17" max="17" width="11.42578125" customWidth="1"/>
  </cols>
  <sheetData>
    <row r="1" spans="1:20" ht="15" customHeight="1" x14ac:dyDescent="0.25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29</v>
      </c>
      <c r="M1" s="27" t="s">
        <v>30</v>
      </c>
      <c r="N1" s="9" t="s">
        <v>636</v>
      </c>
      <c r="O1" s="9" t="s">
        <v>632</v>
      </c>
      <c r="P1" s="9" t="s">
        <v>629</v>
      </c>
      <c r="Q1" s="9" t="s">
        <v>635</v>
      </c>
      <c r="R1" s="9" t="s">
        <v>1164</v>
      </c>
      <c r="S1" s="9" t="s">
        <v>1165</v>
      </c>
      <c r="T1" s="40" t="s">
        <v>1186</v>
      </c>
    </row>
    <row r="2" spans="1:20" ht="15" customHeight="1" x14ac:dyDescent="0.25">
      <c r="A2" s="10" t="s">
        <v>42</v>
      </c>
      <c r="B2" s="11">
        <v>45660</v>
      </c>
      <c r="C2" s="10" t="s">
        <v>43</v>
      </c>
      <c r="D2" s="10" t="s">
        <v>44</v>
      </c>
      <c r="E2" s="10" t="s">
        <v>45</v>
      </c>
      <c r="F2" s="10" t="s">
        <v>46</v>
      </c>
      <c r="G2" s="10" t="s">
        <v>47</v>
      </c>
      <c r="H2" s="10">
        <v>1</v>
      </c>
      <c r="I2" s="10">
        <v>9800</v>
      </c>
      <c r="J2" s="10">
        <v>7600</v>
      </c>
      <c r="K2" s="12">
        <v>0.1</v>
      </c>
      <c r="L2" s="10">
        <v>7</v>
      </c>
      <c r="M2" s="28" t="s">
        <v>48</v>
      </c>
      <c r="N2" s="34">
        <f>_xlfn.IFNA(VLOOKUP(Sales[customer_id],Cust[],11,FALSE),"Unknown")</f>
        <v>250000</v>
      </c>
      <c r="O2" s="34" t="str">
        <f>_xlfn.IFNA(VLOOKUP(Sales[customer_id], Cust[], 7,FALSE),"Unknown customer")</f>
        <v>Abuja</v>
      </c>
      <c r="P2" s="34" t="str">
        <f>_xlfn.IFNA(VLOOKUP(Sales[customer_id],Cust[],4, FALSE),"Unknown customer")</f>
        <v>Bola Musa</v>
      </c>
      <c r="Q2" s="34" t="str">
        <f>_xlfn.IFNA(VLOOKUP(Sales[customer_id], Cust[], 10, FALSE), "Unknown customer")</f>
        <v>Corporate</v>
      </c>
      <c r="R2" s="34">
        <f>SUM(Sales[quantity]*Sales[[#This Row],[unit_price_ngn]]*(1-Sales[[#This Row],[discount_pct]]))</f>
        <v>8820</v>
      </c>
      <c r="S2" s="34">
        <f>Sales[[#This Row],[revenue]]-(Sales[[#This Row],[quantity]]*Sales[[#This Row],[unit_cost_ngn]])</f>
        <v>1220</v>
      </c>
      <c r="T2" s="39" t="str">
        <f>TEXT(Sales[order_date], "yyyy-mm")</f>
        <v>2025-01</v>
      </c>
    </row>
    <row r="3" spans="1:20" ht="15" customHeight="1" x14ac:dyDescent="0.25">
      <c r="A3" s="10" t="s">
        <v>49</v>
      </c>
      <c r="B3" s="11">
        <v>45660</v>
      </c>
      <c r="C3" s="10" t="s">
        <v>43</v>
      </c>
      <c r="D3" s="10" t="s">
        <v>44</v>
      </c>
      <c r="E3" s="10" t="s">
        <v>34</v>
      </c>
      <c r="F3" s="10" t="s">
        <v>50</v>
      </c>
      <c r="G3" s="10" t="s">
        <v>51</v>
      </c>
      <c r="H3" s="10">
        <v>3</v>
      </c>
      <c r="I3" s="10">
        <v>41000</v>
      </c>
      <c r="J3" s="10">
        <v>25000</v>
      </c>
      <c r="K3" s="12">
        <v>0</v>
      </c>
      <c r="L3" s="10">
        <v>5</v>
      </c>
      <c r="M3" s="28" t="s">
        <v>52</v>
      </c>
      <c r="N3" s="29">
        <f>_xlfn.IFNA(VLOOKUP(Sales[customer_id],Cust[],11,FALSE),"Unknown")</f>
        <v>500000</v>
      </c>
      <c r="O3" s="29" t="str">
        <f>_xlfn.IFNA(VLOOKUP(Sales[customer_id], Cust[], 7,FALSE),"Unknown customer")</f>
        <v>Abuja</v>
      </c>
      <c r="P3" s="29" t="str">
        <f>_xlfn.IFNA(VLOOKUP(Sales[[#This Row],[customer_id]],Cust[],4, FALSE),"Unknown customer")</f>
        <v>Amaka Bello</v>
      </c>
      <c r="Q3" s="29" t="str">
        <f>_xlfn.IFNA(VLOOKUP(Sales[[#This Row],[customer_id]], Cust[], 10, FALSE), "Unknown customer")</f>
        <v>Retail</v>
      </c>
      <c r="R3" s="29">
        <f>SUM(Sales[quantity]*Sales[[#This Row],[unit_price_ngn]]*(1-Sales[[#This Row],[discount_pct]]))</f>
        <v>123000</v>
      </c>
      <c r="S3" s="29">
        <f>Sales[[#This Row],[revenue]]-(Sales[[#This Row],[quantity]]*Sales[[#This Row],[unit_cost_ngn]])</f>
        <v>48000</v>
      </c>
      <c r="T3" s="41" t="str">
        <f>TEXT(Sales[order_date], "yyyy-mm")</f>
        <v>2025-01</v>
      </c>
    </row>
    <row r="4" spans="1:20" ht="15" customHeight="1" x14ac:dyDescent="0.25">
      <c r="A4" s="10" t="s">
        <v>59</v>
      </c>
      <c r="B4" s="11">
        <v>45661</v>
      </c>
      <c r="C4" s="10" t="s">
        <v>43</v>
      </c>
      <c r="D4" s="10" t="s">
        <v>44</v>
      </c>
      <c r="E4" s="10" t="s">
        <v>45</v>
      </c>
      <c r="F4" s="10" t="s">
        <v>60</v>
      </c>
      <c r="G4" s="10" t="s">
        <v>61</v>
      </c>
      <c r="H4" s="10">
        <v>1</v>
      </c>
      <c r="I4" s="10">
        <v>12000</v>
      </c>
      <c r="J4" s="10">
        <v>7200</v>
      </c>
      <c r="K4" s="12">
        <v>0</v>
      </c>
      <c r="L4" s="10">
        <v>5</v>
      </c>
      <c r="M4" s="28" t="s">
        <v>48</v>
      </c>
      <c r="N4" s="29">
        <f>_xlfn.IFNA(VLOOKUP(Sales[customer_id],Cust[],11,FALSE),"Unknown")</f>
        <v>250000</v>
      </c>
      <c r="O4" s="29" t="str">
        <f>_xlfn.IFNA(VLOOKUP(Sales[customer_id], Cust[], 7,FALSE),"Unknown customer")</f>
        <v>Abuja</v>
      </c>
      <c r="P4" s="29" t="str">
        <f>_xlfn.IFNA(VLOOKUP(Sales[[#This Row],[customer_id]],Cust[],4, FALSE),"Unknown customer")</f>
        <v>Bola Musa</v>
      </c>
      <c r="Q4" s="29" t="str">
        <f>_xlfn.IFNA(VLOOKUP(Sales[[#This Row],[customer_id]], Cust[], 10, FALSE), "Unknown customer")</f>
        <v>Corporate</v>
      </c>
      <c r="R4" s="29">
        <f>SUM(Sales[quantity]*Sales[[#This Row],[unit_price_ngn]]*(1-Sales[[#This Row],[discount_pct]]))</f>
        <v>12000</v>
      </c>
      <c r="S4" s="29">
        <f>Sales[[#This Row],[revenue]]-(Sales[[#This Row],[quantity]]*Sales[[#This Row],[unit_cost_ngn]])</f>
        <v>4800</v>
      </c>
      <c r="T4" s="41" t="str">
        <f>TEXT(Sales[order_date], "yyyy-mm")</f>
        <v>2025-01</v>
      </c>
    </row>
    <row r="5" spans="1:20" ht="15" customHeight="1" x14ac:dyDescent="0.25">
      <c r="A5" s="10" t="s">
        <v>68</v>
      </c>
      <c r="B5" s="11">
        <v>45662</v>
      </c>
      <c r="C5" s="10" t="s">
        <v>43</v>
      </c>
      <c r="D5" s="10" t="s">
        <v>44</v>
      </c>
      <c r="E5" s="10" t="s">
        <v>34</v>
      </c>
      <c r="F5" s="10" t="s">
        <v>69</v>
      </c>
      <c r="G5" s="10" t="s">
        <v>66</v>
      </c>
      <c r="H5" s="10">
        <v>1</v>
      </c>
      <c r="I5" s="10">
        <v>32000</v>
      </c>
      <c r="J5" s="10">
        <v>21000</v>
      </c>
      <c r="K5" s="12">
        <v>0</v>
      </c>
      <c r="L5" s="10">
        <v>2</v>
      </c>
      <c r="M5" s="28" t="s">
        <v>70</v>
      </c>
      <c r="N5" s="29">
        <f>_xlfn.IFNA(VLOOKUP(Sales[customer_id],Cust[],11,FALSE),"Unknown")</f>
        <v>250000</v>
      </c>
      <c r="O5" s="29" t="str">
        <f>_xlfn.IFNA(VLOOKUP(Sales[customer_id], Cust[], 7,FALSE),"Unknown customer")</f>
        <v>Abuja</v>
      </c>
      <c r="P5" s="29" t="str">
        <f>_xlfn.IFNA(VLOOKUP(Sales[[#This Row],[customer_id]],Cust[],4, FALSE),"Unknown customer")</f>
        <v>Funmi Musa</v>
      </c>
      <c r="Q5" s="29" t="str">
        <f>_xlfn.IFNA(VLOOKUP(Sales[[#This Row],[customer_id]], Cust[], 10, FALSE), "Unknown customer")</f>
        <v>Wholesale</v>
      </c>
      <c r="R5" s="29">
        <f>SUM(Sales[quantity]*Sales[[#This Row],[unit_price_ngn]]*(1-Sales[[#This Row],[discount_pct]]))</f>
        <v>32000</v>
      </c>
      <c r="S5" s="29">
        <f>Sales[[#This Row],[revenue]]-(Sales[[#This Row],[quantity]]*Sales[[#This Row],[unit_cost_ngn]])</f>
        <v>11000</v>
      </c>
      <c r="T5" s="41" t="str">
        <f>TEXT(Sales[order_date], "yyyy-mm")</f>
        <v>2025-01</v>
      </c>
    </row>
    <row r="6" spans="1:20" ht="15" customHeight="1" x14ac:dyDescent="0.25">
      <c r="A6" s="10" t="s">
        <v>74</v>
      </c>
      <c r="B6" s="11">
        <v>45664</v>
      </c>
      <c r="C6" s="10" t="s">
        <v>43</v>
      </c>
      <c r="D6" s="10" t="s">
        <v>44</v>
      </c>
      <c r="E6" s="10" t="s">
        <v>75</v>
      </c>
      <c r="F6" s="10" t="s">
        <v>57</v>
      </c>
      <c r="G6" s="10" t="s">
        <v>51</v>
      </c>
      <c r="H6" s="10">
        <v>1</v>
      </c>
      <c r="I6" s="10">
        <v>27500</v>
      </c>
      <c r="J6" s="10">
        <v>16500</v>
      </c>
      <c r="K6" s="12">
        <v>0.05</v>
      </c>
      <c r="L6" s="10">
        <v>3</v>
      </c>
      <c r="M6" s="28" t="s">
        <v>76</v>
      </c>
      <c r="N6" s="29">
        <f>_xlfn.IFNA(VLOOKUP(Sales[customer_id],Cust[],11,FALSE),"Unknown")</f>
        <v>500000</v>
      </c>
      <c r="O6" s="29" t="str">
        <f>_xlfn.IFNA(VLOOKUP(Sales[customer_id], Cust[], 7,FALSE),"Unknown customer")</f>
        <v>Abuja</v>
      </c>
      <c r="P6" s="29" t="str">
        <f>_xlfn.IFNA(VLOOKUP(Sales[[#This Row],[customer_id]],Cust[],4, FALSE),"Unknown customer")</f>
        <v>Temitope Nnamdi</v>
      </c>
      <c r="Q6" s="29" t="str">
        <f>_xlfn.IFNA(VLOOKUP(Sales[[#This Row],[customer_id]], Cust[], 10, FALSE), "Unknown customer")</f>
        <v>Corporate</v>
      </c>
      <c r="R6" s="29">
        <f>SUM(Sales[quantity]*Sales[[#This Row],[unit_price_ngn]]*(1-Sales[[#This Row],[discount_pct]]))</f>
        <v>26125</v>
      </c>
      <c r="S6" s="29">
        <f>Sales[[#This Row],[revenue]]-(Sales[[#This Row],[quantity]]*Sales[[#This Row],[unit_cost_ngn]])</f>
        <v>9625</v>
      </c>
      <c r="T6" s="41" t="str">
        <f>TEXT(Sales[order_date], "yyyy-mm")</f>
        <v>2025-01</v>
      </c>
    </row>
    <row r="7" spans="1:20" ht="15" customHeight="1" x14ac:dyDescent="0.25">
      <c r="A7" s="10" t="s">
        <v>103</v>
      </c>
      <c r="B7" s="11">
        <v>45673</v>
      </c>
      <c r="C7" s="10" t="s">
        <v>43</v>
      </c>
      <c r="D7" s="10" t="s">
        <v>44</v>
      </c>
      <c r="E7" s="10" t="s">
        <v>45</v>
      </c>
      <c r="F7" s="10" t="s">
        <v>65</v>
      </c>
      <c r="G7" s="10" t="s">
        <v>66</v>
      </c>
      <c r="H7" s="10">
        <v>1</v>
      </c>
      <c r="I7" s="10">
        <v>24000</v>
      </c>
      <c r="J7" s="10">
        <v>14500</v>
      </c>
      <c r="K7" s="12">
        <v>0</v>
      </c>
      <c r="L7" s="10">
        <v>7</v>
      </c>
      <c r="M7" s="28" t="s">
        <v>104</v>
      </c>
      <c r="N7" s="29">
        <f>_xlfn.IFNA(VLOOKUP(Sales[customer_id],Cust[],11,FALSE),"Unknown")</f>
        <v>50000</v>
      </c>
      <c r="O7" s="29" t="str">
        <f>_xlfn.IFNA(VLOOKUP(Sales[customer_id], Cust[], 7,FALSE),"Unknown customer")</f>
        <v>Abuja</v>
      </c>
      <c r="P7" s="29" t="str">
        <f>_xlfn.IFNA(VLOOKUP(Sales[[#This Row],[customer_id]],Cust[],4, FALSE),"Unknown customer")</f>
        <v>Halima Ibrahim</v>
      </c>
      <c r="Q7" s="29" t="str">
        <f>_xlfn.IFNA(VLOOKUP(Sales[[#This Row],[customer_id]], Cust[], 10, FALSE), "Unknown customer")</f>
        <v>Retail</v>
      </c>
      <c r="R7" s="29">
        <f>SUM(Sales[quantity]*Sales[[#This Row],[unit_price_ngn]]*(1-Sales[[#This Row],[discount_pct]]))</f>
        <v>24000</v>
      </c>
      <c r="S7" s="29">
        <f>Sales[[#This Row],[revenue]]-(Sales[[#This Row],[quantity]]*Sales[[#This Row],[unit_cost_ngn]])</f>
        <v>9500</v>
      </c>
      <c r="T7" s="41" t="str">
        <f>TEXT(Sales[order_date], "yyyy-mm")</f>
        <v>2025-01</v>
      </c>
    </row>
    <row r="8" spans="1:20" ht="15" customHeight="1" x14ac:dyDescent="0.25">
      <c r="A8" s="10" t="s">
        <v>110</v>
      </c>
      <c r="B8" s="11">
        <v>45676</v>
      </c>
      <c r="C8" s="10" t="s">
        <v>43</v>
      </c>
      <c r="D8" s="10" t="s">
        <v>44</v>
      </c>
      <c r="E8" s="10" t="s">
        <v>56</v>
      </c>
      <c r="F8" s="10" t="s">
        <v>69</v>
      </c>
      <c r="G8" s="10" t="s">
        <v>66</v>
      </c>
      <c r="H8" s="10">
        <v>1</v>
      </c>
      <c r="I8" s="10">
        <v>32000</v>
      </c>
      <c r="J8" s="10">
        <v>21000</v>
      </c>
      <c r="K8" s="12">
        <v>0</v>
      </c>
      <c r="L8" s="10">
        <v>2</v>
      </c>
      <c r="M8" s="28" t="s">
        <v>111</v>
      </c>
      <c r="N8" s="29">
        <f>_xlfn.IFNA(VLOOKUP(Sales[customer_id],Cust[],11,FALSE),"Unknown")</f>
        <v>500000</v>
      </c>
      <c r="O8" s="29" t="str">
        <f>_xlfn.IFNA(VLOOKUP(Sales[customer_id], Cust[], 7,FALSE),"Unknown customer")</f>
        <v>Abuja</v>
      </c>
      <c r="P8" s="29" t="str">
        <f>_xlfn.IFNA(VLOOKUP(Sales[[#This Row],[customer_id]],Cust[],4, FALSE),"Unknown customer")</f>
        <v>Sadiq Chukwu</v>
      </c>
      <c r="Q8" s="29" t="str">
        <f>_xlfn.IFNA(VLOOKUP(Sales[[#This Row],[customer_id]], Cust[], 10, FALSE), "Unknown customer")</f>
        <v>Wholesale</v>
      </c>
      <c r="R8" s="29">
        <f>SUM(Sales[quantity]*Sales[[#This Row],[unit_price_ngn]]*(1-Sales[[#This Row],[discount_pct]]))</f>
        <v>32000</v>
      </c>
      <c r="S8" s="29">
        <f>Sales[[#This Row],[revenue]]-(Sales[[#This Row],[quantity]]*Sales[[#This Row],[unit_cost_ngn]])</f>
        <v>11000</v>
      </c>
      <c r="T8" s="41" t="str">
        <f>TEXT(Sales[order_date], "yyyy-mm")</f>
        <v>2025-01</v>
      </c>
    </row>
    <row r="9" spans="1:20" ht="15" customHeight="1" x14ac:dyDescent="0.25">
      <c r="A9" s="10" t="s">
        <v>116</v>
      </c>
      <c r="B9" s="11">
        <v>45678</v>
      </c>
      <c r="C9" s="10" t="s">
        <v>43</v>
      </c>
      <c r="D9" s="10" t="s">
        <v>44</v>
      </c>
      <c r="E9" s="10" t="s">
        <v>34</v>
      </c>
      <c r="F9" s="10" t="s">
        <v>60</v>
      </c>
      <c r="G9" s="10" t="s">
        <v>61</v>
      </c>
      <c r="H9" s="10">
        <v>3</v>
      </c>
      <c r="I9" s="10">
        <v>12000</v>
      </c>
      <c r="J9" s="10">
        <v>7200</v>
      </c>
      <c r="K9" s="12">
        <v>0</v>
      </c>
      <c r="L9" s="10">
        <v>1</v>
      </c>
      <c r="M9" s="28" t="s">
        <v>48</v>
      </c>
      <c r="N9" s="29">
        <f>_xlfn.IFNA(VLOOKUP(Sales[customer_id],Cust[],11,FALSE),"Unknown")</f>
        <v>250000</v>
      </c>
      <c r="O9" s="29" t="str">
        <f>_xlfn.IFNA(VLOOKUP(Sales[customer_id], Cust[], 7,FALSE),"Unknown customer")</f>
        <v>Abuja</v>
      </c>
      <c r="P9" s="29" t="str">
        <f>_xlfn.IFNA(VLOOKUP(Sales[[#This Row],[customer_id]],Cust[],4, FALSE),"Unknown customer")</f>
        <v>Bola Musa</v>
      </c>
      <c r="Q9" s="29" t="str">
        <f>_xlfn.IFNA(VLOOKUP(Sales[[#This Row],[customer_id]], Cust[], 10, FALSE), "Unknown customer")</f>
        <v>Corporate</v>
      </c>
      <c r="R9" s="29">
        <f>SUM(Sales[quantity]*Sales[[#This Row],[unit_price_ngn]]*(1-Sales[[#This Row],[discount_pct]]))</f>
        <v>36000</v>
      </c>
      <c r="S9" s="29">
        <f>Sales[[#This Row],[revenue]]-(Sales[[#This Row],[quantity]]*Sales[[#This Row],[unit_cost_ngn]])</f>
        <v>14400</v>
      </c>
      <c r="T9" s="41" t="str">
        <f>TEXT(Sales[order_date], "yyyy-mm")</f>
        <v>2025-01</v>
      </c>
    </row>
    <row r="10" spans="1:20" ht="15" customHeight="1" x14ac:dyDescent="0.25">
      <c r="A10" s="10" t="s">
        <v>129</v>
      </c>
      <c r="B10" s="11">
        <v>45682</v>
      </c>
      <c r="C10" s="10" t="s">
        <v>43</v>
      </c>
      <c r="D10" s="10" t="s">
        <v>44</v>
      </c>
      <c r="E10" s="10" t="s">
        <v>56</v>
      </c>
      <c r="F10" s="10" t="s">
        <v>46</v>
      </c>
      <c r="G10" s="10" t="s">
        <v>47</v>
      </c>
      <c r="H10" s="10">
        <v>1</v>
      </c>
      <c r="I10" s="10">
        <v>9800</v>
      </c>
      <c r="J10" s="10">
        <v>7600</v>
      </c>
      <c r="K10" s="12">
        <v>0</v>
      </c>
      <c r="L10" s="10">
        <v>1</v>
      </c>
      <c r="M10" s="28" t="s">
        <v>111</v>
      </c>
      <c r="N10" s="29">
        <f>_xlfn.IFNA(VLOOKUP(Sales[customer_id],Cust[],11,FALSE),"Unknown")</f>
        <v>500000</v>
      </c>
      <c r="O10" s="29" t="str">
        <f>_xlfn.IFNA(VLOOKUP(Sales[customer_id], Cust[], 7,FALSE),"Unknown customer")</f>
        <v>Abuja</v>
      </c>
      <c r="P10" s="29" t="str">
        <f>_xlfn.IFNA(VLOOKUP(Sales[[#This Row],[customer_id]],Cust[],4, FALSE),"Unknown customer")</f>
        <v>Sadiq Chukwu</v>
      </c>
      <c r="Q10" s="29" t="str">
        <f>_xlfn.IFNA(VLOOKUP(Sales[[#This Row],[customer_id]], Cust[], 10, FALSE), "Unknown customer")</f>
        <v>Wholesale</v>
      </c>
      <c r="R10" s="29">
        <f>SUM(Sales[quantity]*Sales[[#This Row],[unit_price_ngn]]*(1-Sales[[#This Row],[discount_pct]]))</f>
        <v>9800</v>
      </c>
      <c r="S10" s="29">
        <f>Sales[[#This Row],[revenue]]-(Sales[[#This Row],[quantity]]*Sales[[#This Row],[unit_cost_ngn]])</f>
        <v>2200</v>
      </c>
      <c r="T10" s="41" t="str">
        <f>TEXT(Sales[order_date], "yyyy-mm")</f>
        <v>2025-01</v>
      </c>
    </row>
    <row r="11" spans="1:20" ht="15" customHeight="1" x14ac:dyDescent="0.25">
      <c r="A11" s="10" t="s">
        <v>148</v>
      </c>
      <c r="B11" s="11">
        <v>45699</v>
      </c>
      <c r="C11" s="10" t="s">
        <v>43</v>
      </c>
      <c r="D11" s="10" t="s">
        <v>44</v>
      </c>
      <c r="E11" s="10" t="s">
        <v>56</v>
      </c>
      <c r="F11" s="10" t="s">
        <v>88</v>
      </c>
      <c r="G11" s="10" t="s">
        <v>89</v>
      </c>
      <c r="H11" s="10">
        <v>10</v>
      </c>
      <c r="I11" s="10">
        <v>6800</v>
      </c>
      <c r="J11" s="10">
        <v>3900</v>
      </c>
      <c r="K11" s="12">
        <v>0</v>
      </c>
      <c r="L11" s="10">
        <v>1</v>
      </c>
      <c r="M11" s="28" t="s">
        <v>149</v>
      </c>
      <c r="N11" s="29">
        <f>_xlfn.IFNA(VLOOKUP(Sales[customer_id],Cust[],11,FALSE),"Unknown")</f>
        <v>100000</v>
      </c>
      <c r="O11" s="29" t="str">
        <f>_xlfn.IFNA(VLOOKUP(Sales[customer_id], Cust[], 7,FALSE),"Unknown customer")</f>
        <v>Abuja</v>
      </c>
      <c r="P11" s="29" t="str">
        <f>_xlfn.IFNA(VLOOKUP(Sales[[#This Row],[customer_id]],Cust[],4, FALSE),"Unknown customer")</f>
        <v>Hauwa Sanni</v>
      </c>
      <c r="Q11" s="29" t="str">
        <f>_xlfn.IFNA(VLOOKUP(Sales[[#This Row],[customer_id]], Cust[], 10, FALSE), "Unknown customer")</f>
        <v>Retail</v>
      </c>
      <c r="R11" s="29">
        <f>SUM(Sales[quantity]*Sales[[#This Row],[unit_price_ngn]]*(1-Sales[[#This Row],[discount_pct]]))</f>
        <v>68000</v>
      </c>
      <c r="S11" s="29">
        <f>Sales[[#This Row],[revenue]]-(Sales[[#This Row],[quantity]]*Sales[[#This Row],[unit_cost_ngn]])</f>
        <v>29000</v>
      </c>
      <c r="T11" s="41" t="str">
        <f>TEXT(Sales[order_date], "yyyy-mm")</f>
        <v>2025-02</v>
      </c>
    </row>
    <row r="12" spans="1:20" ht="15" customHeight="1" x14ac:dyDescent="0.25">
      <c r="A12" s="10" t="s">
        <v>156</v>
      </c>
      <c r="B12" s="11">
        <v>45705</v>
      </c>
      <c r="C12" s="10" t="s">
        <v>43</v>
      </c>
      <c r="D12" s="10" t="s">
        <v>44</v>
      </c>
      <c r="E12" s="10" t="s">
        <v>56</v>
      </c>
      <c r="F12" s="10" t="s">
        <v>69</v>
      </c>
      <c r="G12" s="10" t="s">
        <v>66</v>
      </c>
      <c r="H12" s="10">
        <v>2</v>
      </c>
      <c r="I12" s="10">
        <v>32000</v>
      </c>
      <c r="J12" s="10">
        <v>21000</v>
      </c>
      <c r="K12" s="12">
        <v>0</v>
      </c>
      <c r="L12" s="10">
        <v>4</v>
      </c>
      <c r="M12" s="28" t="s">
        <v>157</v>
      </c>
      <c r="N12" s="29">
        <f>_xlfn.IFNA(VLOOKUP(Sales[customer_id],Cust[],11,FALSE),"Unknown")</f>
        <v>150000</v>
      </c>
      <c r="O12" s="29" t="str">
        <f>_xlfn.IFNA(VLOOKUP(Sales[customer_id], Cust[], 7,FALSE),"Unknown customer")</f>
        <v>Abuja</v>
      </c>
      <c r="P12" s="29" t="str">
        <f>_xlfn.IFNA(VLOOKUP(Sales[[#This Row],[customer_id]],Cust[],4, FALSE),"Unknown customer")</f>
        <v>Emeka Fashola</v>
      </c>
      <c r="Q12" s="29" t="str">
        <f>_xlfn.IFNA(VLOOKUP(Sales[[#This Row],[customer_id]], Cust[], 10, FALSE), "Unknown customer")</f>
        <v>Retail</v>
      </c>
      <c r="R12" s="29">
        <f>SUM(Sales[quantity]*Sales[[#This Row],[unit_price_ngn]]*(1-Sales[[#This Row],[discount_pct]]))</f>
        <v>64000</v>
      </c>
      <c r="S12" s="29">
        <f>Sales[[#This Row],[revenue]]-(Sales[[#This Row],[quantity]]*Sales[[#This Row],[unit_cost_ngn]])</f>
        <v>22000</v>
      </c>
      <c r="T12" s="41" t="str">
        <f>TEXT(Sales[order_date], "yyyy-mm")</f>
        <v>2025-02</v>
      </c>
    </row>
    <row r="13" spans="1:20" ht="15" customHeight="1" x14ac:dyDescent="0.25">
      <c r="A13" s="10" t="s">
        <v>160</v>
      </c>
      <c r="B13" s="11">
        <v>45706</v>
      </c>
      <c r="C13" s="10" t="s">
        <v>43</v>
      </c>
      <c r="D13" s="10" t="s">
        <v>44</v>
      </c>
      <c r="E13" s="10" t="s">
        <v>34</v>
      </c>
      <c r="F13" s="10" t="s">
        <v>57</v>
      </c>
      <c r="G13" s="10" t="s">
        <v>51</v>
      </c>
      <c r="H13" s="10">
        <v>8</v>
      </c>
      <c r="I13" s="10">
        <v>27500</v>
      </c>
      <c r="J13" s="10">
        <v>16500</v>
      </c>
      <c r="K13" s="12">
        <v>0</v>
      </c>
      <c r="L13" s="10">
        <v>3</v>
      </c>
      <c r="M13" s="28" t="s">
        <v>161</v>
      </c>
      <c r="N13" s="29">
        <f>_xlfn.IFNA(VLOOKUP(Sales[customer_id],Cust[],11,FALSE),"Unknown")</f>
        <v>50000</v>
      </c>
      <c r="O13" s="29" t="str">
        <f>_xlfn.IFNA(VLOOKUP(Sales[customer_id], Cust[], 7,FALSE),"Unknown customer")</f>
        <v>Abuja</v>
      </c>
      <c r="P13" s="29" t="str">
        <f>_xlfn.IFNA(VLOOKUP(Sales[[#This Row],[customer_id]],Cust[],4, FALSE),"Unknown customer")</f>
        <v>Tunde Sanni</v>
      </c>
      <c r="Q13" s="29" t="str">
        <f>_xlfn.IFNA(VLOOKUP(Sales[[#This Row],[customer_id]], Cust[], 10, FALSE), "Unknown customer")</f>
        <v>Corporate</v>
      </c>
      <c r="R13" s="29">
        <f>SUM(Sales[quantity]*Sales[[#This Row],[unit_price_ngn]]*(1-Sales[[#This Row],[discount_pct]]))</f>
        <v>220000</v>
      </c>
      <c r="S13" s="29">
        <f>Sales[[#This Row],[revenue]]-(Sales[[#This Row],[quantity]]*Sales[[#This Row],[unit_cost_ngn]])</f>
        <v>88000</v>
      </c>
      <c r="T13" s="41" t="str">
        <f>TEXT(Sales[order_date], "yyyy-mm")</f>
        <v>2025-02</v>
      </c>
    </row>
    <row r="14" spans="1:20" ht="15" customHeight="1" x14ac:dyDescent="0.25">
      <c r="A14" s="10" t="s">
        <v>164</v>
      </c>
      <c r="B14" s="11">
        <v>45709</v>
      </c>
      <c r="C14" s="10" t="s">
        <v>43</v>
      </c>
      <c r="D14" s="10" t="s">
        <v>44</v>
      </c>
      <c r="E14" s="10" t="s">
        <v>34</v>
      </c>
      <c r="F14" s="10" t="s">
        <v>57</v>
      </c>
      <c r="G14" s="10" t="s">
        <v>51</v>
      </c>
      <c r="H14" s="10">
        <v>4</v>
      </c>
      <c r="I14" s="10">
        <v>27500</v>
      </c>
      <c r="J14" s="10">
        <v>16500</v>
      </c>
      <c r="K14" s="12">
        <v>0.05</v>
      </c>
      <c r="L14" s="10">
        <v>4</v>
      </c>
      <c r="M14" s="28" t="s">
        <v>111</v>
      </c>
      <c r="N14" s="29">
        <f>_xlfn.IFNA(VLOOKUP(Sales[customer_id],Cust[],11,FALSE),"Unknown")</f>
        <v>500000</v>
      </c>
      <c r="O14" s="29" t="str">
        <f>_xlfn.IFNA(VLOOKUP(Sales[customer_id], Cust[], 7,FALSE),"Unknown customer")</f>
        <v>Abuja</v>
      </c>
      <c r="P14" s="29" t="str">
        <f>_xlfn.IFNA(VLOOKUP(Sales[[#This Row],[customer_id]],Cust[],4, FALSE),"Unknown customer")</f>
        <v>Sadiq Chukwu</v>
      </c>
      <c r="Q14" s="29" t="str">
        <f>_xlfn.IFNA(VLOOKUP(Sales[[#This Row],[customer_id]], Cust[], 10, FALSE), "Unknown customer")</f>
        <v>Wholesale</v>
      </c>
      <c r="R14" s="29">
        <f>SUM(Sales[quantity]*Sales[[#This Row],[unit_price_ngn]]*(1-Sales[[#This Row],[discount_pct]]))</f>
        <v>104500</v>
      </c>
      <c r="S14" s="29">
        <f>Sales[[#This Row],[revenue]]-(Sales[[#This Row],[quantity]]*Sales[[#This Row],[unit_cost_ngn]])</f>
        <v>38500</v>
      </c>
      <c r="T14" s="41" t="str">
        <f>TEXT(Sales[order_date], "yyyy-mm")</f>
        <v>2025-02</v>
      </c>
    </row>
    <row r="15" spans="1:20" ht="15" customHeight="1" x14ac:dyDescent="0.25">
      <c r="A15" s="10" t="s">
        <v>171</v>
      </c>
      <c r="B15" s="11">
        <v>45714</v>
      </c>
      <c r="C15" s="10" t="s">
        <v>43</v>
      </c>
      <c r="D15" s="10" t="s">
        <v>44</v>
      </c>
      <c r="E15" s="10" t="s">
        <v>45</v>
      </c>
      <c r="F15" s="10" t="s">
        <v>50</v>
      </c>
      <c r="G15" s="10" t="s">
        <v>51</v>
      </c>
      <c r="H15" s="10">
        <v>2</v>
      </c>
      <c r="I15" s="10">
        <v>41000</v>
      </c>
      <c r="J15" s="10">
        <v>25000</v>
      </c>
      <c r="K15" s="12">
        <v>0</v>
      </c>
      <c r="L15" s="10">
        <v>3</v>
      </c>
      <c r="M15" s="28" t="s">
        <v>172</v>
      </c>
      <c r="N15" s="29">
        <f>_xlfn.IFNA(VLOOKUP(Sales[customer_id],Cust[],11,FALSE),"Unknown")</f>
        <v>500000</v>
      </c>
      <c r="O15" s="29" t="str">
        <f>_xlfn.IFNA(VLOOKUP(Sales[customer_id], Cust[], 7,FALSE),"Unknown customer")</f>
        <v>Abuja</v>
      </c>
      <c r="P15" s="29" t="str">
        <f>_xlfn.IFNA(VLOOKUP(Sales[[#This Row],[customer_id]],Cust[],4, FALSE),"Unknown customer")</f>
        <v>Adaeze Okafor</v>
      </c>
      <c r="Q15" s="29" t="str">
        <f>_xlfn.IFNA(VLOOKUP(Sales[[#This Row],[customer_id]], Cust[], 10, FALSE), "Unknown customer")</f>
        <v>Corporate</v>
      </c>
      <c r="R15" s="29">
        <f>SUM(Sales[quantity]*Sales[[#This Row],[unit_price_ngn]]*(1-Sales[[#This Row],[discount_pct]]))</f>
        <v>82000</v>
      </c>
      <c r="S15" s="29">
        <f>Sales[[#This Row],[revenue]]-(Sales[[#This Row],[quantity]]*Sales[[#This Row],[unit_cost_ngn]])</f>
        <v>32000</v>
      </c>
      <c r="T15" s="41" t="str">
        <f>TEXT(Sales[order_date], "yyyy-mm")</f>
        <v>2025-02</v>
      </c>
    </row>
    <row r="16" spans="1:20" ht="15" customHeight="1" x14ac:dyDescent="0.25">
      <c r="A16" s="10" t="s">
        <v>183</v>
      </c>
      <c r="B16" s="11">
        <v>45723</v>
      </c>
      <c r="C16" s="10" t="s">
        <v>43</v>
      </c>
      <c r="D16" s="10" t="s">
        <v>44</v>
      </c>
      <c r="E16" s="10" t="s">
        <v>34</v>
      </c>
      <c r="F16" s="10" t="s">
        <v>72</v>
      </c>
      <c r="G16" s="10" t="s">
        <v>47</v>
      </c>
      <c r="H16" s="10">
        <v>10</v>
      </c>
      <c r="I16" s="10">
        <v>46000</v>
      </c>
      <c r="J16" s="10">
        <v>39000</v>
      </c>
      <c r="K16" s="12">
        <v>0</v>
      </c>
      <c r="L16" s="10">
        <v>4</v>
      </c>
      <c r="M16" s="28" t="s">
        <v>70</v>
      </c>
      <c r="N16" s="29">
        <f>_xlfn.IFNA(VLOOKUP(Sales[customer_id],Cust[],11,FALSE),"Unknown")</f>
        <v>250000</v>
      </c>
      <c r="O16" s="29" t="str">
        <f>_xlfn.IFNA(VLOOKUP(Sales[customer_id], Cust[], 7,FALSE),"Unknown customer")</f>
        <v>Abuja</v>
      </c>
      <c r="P16" s="29" t="str">
        <f>_xlfn.IFNA(VLOOKUP(Sales[[#This Row],[customer_id]],Cust[],4, FALSE),"Unknown customer")</f>
        <v>Funmi Musa</v>
      </c>
      <c r="Q16" s="29" t="str">
        <f>_xlfn.IFNA(VLOOKUP(Sales[[#This Row],[customer_id]], Cust[], 10, FALSE), "Unknown customer")</f>
        <v>Wholesale</v>
      </c>
      <c r="R16" s="29">
        <f>SUM(Sales[quantity]*Sales[[#This Row],[unit_price_ngn]]*(1-Sales[[#This Row],[discount_pct]]))</f>
        <v>460000</v>
      </c>
      <c r="S16" s="29">
        <f>Sales[[#This Row],[revenue]]-(Sales[[#This Row],[quantity]]*Sales[[#This Row],[unit_cost_ngn]])</f>
        <v>70000</v>
      </c>
      <c r="T16" s="41" t="str">
        <f>TEXT(Sales[order_date], "yyyy-mm")</f>
        <v>2025-03</v>
      </c>
    </row>
    <row r="17" spans="1:20" ht="15" customHeight="1" x14ac:dyDescent="0.25">
      <c r="A17" s="10" t="s">
        <v>185</v>
      </c>
      <c r="B17" s="11">
        <v>45724</v>
      </c>
      <c r="C17" s="10" t="s">
        <v>43</v>
      </c>
      <c r="D17" s="10" t="s">
        <v>44</v>
      </c>
      <c r="E17" s="10" t="s">
        <v>34</v>
      </c>
      <c r="F17" s="10" t="s">
        <v>65</v>
      </c>
      <c r="G17" s="10" t="s">
        <v>66</v>
      </c>
      <c r="H17" s="10">
        <v>1</v>
      </c>
      <c r="I17" s="10">
        <v>24000</v>
      </c>
      <c r="J17" s="10">
        <v>14500</v>
      </c>
      <c r="K17" s="12">
        <v>0</v>
      </c>
      <c r="L17" s="10">
        <v>2</v>
      </c>
      <c r="M17" s="28" t="s">
        <v>186</v>
      </c>
      <c r="N17" s="29">
        <f>_xlfn.IFNA(VLOOKUP(Sales[customer_id],Cust[],11,FALSE),"Unknown")</f>
        <v>500000</v>
      </c>
      <c r="O17" s="29" t="str">
        <f>_xlfn.IFNA(VLOOKUP(Sales[customer_id], Cust[], 7,FALSE),"Unknown customer")</f>
        <v>Abuja</v>
      </c>
      <c r="P17" s="29" t="str">
        <f>_xlfn.IFNA(VLOOKUP(Sales[[#This Row],[customer_id]],Cust[],4, FALSE),"Unknown customer")</f>
        <v>Kunle Jibril</v>
      </c>
      <c r="Q17" s="29" t="str">
        <f>_xlfn.IFNA(VLOOKUP(Sales[[#This Row],[customer_id]], Cust[], 10, FALSE), "Unknown customer")</f>
        <v>Wholesale</v>
      </c>
      <c r="R17" s="29">
        <f>SUM(Sales[quantity]*Sales[[#This Row],[unit_price_ngn]]*(1-Sales[[#This Row],[discount_pct]]))</f>
        <v>24000</v>
      </c>
      <c r="S17" s="29">
        <f>Sales[[#This Row],[revenue]]-(Sales[[#This Row],[quantity]]*Sales[[#This Row],[unit_cost_ngn]])</f>
        <v>9500</v>
      </c>
      <c r="T17" s="41" t="str">
        <f>TEXT(Sales[order_date], "yyyy-mm")</f>
        <v>2025-03</v>
      </c>
    </row>
    <row r="18" spans="1:20" ht="15" customHeight="1" x14ac:dyDescent="0.25">
      <c r="A18" s="10" t="s">
        <v>187</v>
      </c>
      <c r="B18" s="11">
        <v>45726</v>
      </c>
      <c r="C18" s="10" t="s">
        <v>43</v>
      </c>
      <c r="D18" s="10" t="s">
        <v>44</v>
      </c>
      <c r="E18" s="10" t="s">
        <v>75</v>
      </c>
      <c r="F18" s="10" t="s">
        <v>65</v>
      </c>
      <c r="G18" s="10" t="s">
        <v>66</v>
      </c>
      <c r="H18" s="10">
        <v>2</v>
      </c>
      <c r="I18" s="10">
        <v>24000</v>
      </c>
      <c r="J18" s="10">
        <v>14500</v>
      </c>
      <c r="K18" s="12">
        <v>0</v>
      </c>
      <c r="L18" s="10">
        <v>3</v>
      </c>
      <c r="M18" s="28" t="s">
        <v>188</v>
      </c>
      <c r="N18" s="29">
        <f>_xlfn.IFNA(VLOOKUP(Sales[customer_id],Cust[],11,FALSE),"Unknown")</f>
        <v>500000</v>
      </c>
      <c r="O18" s="29" t="str">
        <f>_xlfn.IFNA(VLOOKUP(Sales[customer_id], Cust[], 7,FALSE),"Unknown customer")</f>
        <v>Abuja</v>
      </c>
      <c r="P18" s="29" t="str">
        <f>_xlfn.IFNA(VLOOKUP(Sales[[#This Row],[customer_id]],Cust[],4, FALSE),"Unknown customer")</f>
        <v>Ifeoma Adebayo</v>
      </c>
      <c r="Q18" s="29" t="str">
        <f>_xlfn.IFNA(VLOOKUP(Sales[[#This Row],[customer_id]], Cust[], 10, FALSE), "Unknown customer")</f>
        <v>Retail</v>
      </c>
      <c r="R18" s="29">
        <f>SUM(Sales[quantity]*Sales[[#This Row],[unit_price_ngn]]*(1-Sales[[#This Row],[discount_pct]]))</f>
        <v>48000</v>
      </c>
      <c r="S18" s="29">
        <f>Sales[[#This Row],[revenue]]-(Sales[[#This Row],[quantity]]*Sales[[#This Row],[unit_cost_ngn]])</f>
        <v>19000</v>
      </c>
      <c r="T18" s="41" t="str">
        <f>TEXT(Sales[order_date], "yyyy-mm")</f>
        <v>2025-03</v>
      </c>
    </row>
    <row r="19" spans="1:20" ht="15" customHeight="1" x14ac:dyDescent="0.25">
      <c r="A19" s="10" t="s">
        <v>192</v>
      </c>
      <c r="B19" s="11">
        <v>45728</v>
      </c>
      <c r="C19" s="10" t="s">
        <v>43</v>
      </c>
      <c r="D19" s="10" t="s">
        <v>44</v>
      </c>
      <c r="E19" s="10" t="s">
        <v>45</v>
      </c>
      <c r="F19" s="10" t="s">
        <v>46</v>
      </c>
      <c r="G19" s="10" t="s">
        <v>47</v>
      </c>
      <c r="H19" s="10">
        <v>2</v>
      </c>
      <c r="I19" s="10">
        <v>9800</v>
      </c>
      <c r="J19" s="10">
        <v>7600</v>
      </c>
      <c r="K19" s="12">
        <v>0</v>
      </c>
      <c r="L19" s="10">
        <v>3</v>
      </c>
      <c r="M19" s="28" t="s">
        <v>161</v>
      </c>
      <c r="N19" s="29">
        <f>_xlfn.IFNA(VLOOKUP(Sales[customer_id],Cust[],11,FALSE),"Unknown")</f>
        <v>50000</v>
      </c>
      <c r="O19" s="29" t="str">
        <f>_xlfn.IFNA(VLOOKUP(Sales[customer_id], Cust[], 7,FALSE),"Unknown customer")</f>
        <v>Abuja</v>
      </c>
      <c r="P19" s="29" t="str">
        <f>_xlfn.IFNA(VLOOKUP(Sales[[#This Row],[customer_id]],Cust[],4, FALSE),"Unknown customer")</f>
        <v>Tunde Sanni</v>
      </c>
      <c r="Q19" s="29" t="str">
        <f>_xlfn.IFNA(VLOOKUP(Sales[[#This Row],[customer_id]], Cust[], 10, FALSE), "Unknown customer")</f>
        <v>Corporate</v>
      </c>
      <c r="R19" s="29">
        <f>SUM(Sales[quantity]*Sales[[#This Row],[unit_price_ngn]]*(1-Sales[[#This Row],[discount_pct]]))</f>
        <v>19600</v>
      </c>
      <c r="S19" s="29">
        <f>Sales[[#This Row],[revenue]]-(Sales[[#This Row],[quantity]]*Sales[[#This Row],[unit_cost_ngn]])</f>
        <v>4400</v>
      </c>
      <c r="T19" s="41" t="str">
        <f>TEXT(Sales[order_date], "yyyy-mm")</f>
        <v>2025-03</v>
      </c>
    </row>
    <row r="20" spans="1:20" ht="15" customHeight="1" x14ac:dyDescent="0.25">
      <c r="A20" s="10" t="s">
        <v>194</v>
      </c>
      <c r="B20" s="11">
        <v>45730</v>
      </c>
      <c r="C20" s="10" t="s">
        <v>43</v>
      </c>
      <c r="D20" s="10" t="s">
        <v>44</v>
      </c>
      <c r="E20" s="10" t="s">
        <v>75</v>
      </c>
      <c r="F20" s="10" t="s">
        <v>88</v>
      </c>
      <c r="G20" s="10" t="s">
        <v>89</v>
      </c>
      <c r="H20" s="10">
        <v>5</v>
      </c>
      <c r="I20" s="10">
        <v>6800</v>
      </c>
      <c r="J20" s="10">
        <v>3900</v>
      </c>
      <c r="K20" s="12">
        <v>0</v>
      </c>
      <c r="L20" s="10">
        <v>4</v>
      </c>
      <c r="M20" s="28" t="s">
        <v>195</v>
      </c>
      <c r="N20" s="29">
        <f>_xlfn.IFNA(VLOOKUP(Sales[customer_id],Cust[],11,FALSE),"Unknown")</f>
        <v>250000</v>
      </c>
      <c r="O20" s="29" t="str">
        <f>_xlfn.IFNA(VLOOKUP(Sales[customer_id], Cust[], 7,FALSE),"Unknown customer")</f>
        <v>Abuja</v>
      </c>
      <c r="P20" s="29" t="str">
        <f>_xlfn.IFNA(VLOOKUP(Sales[[#This Row],[customer_id]],Cust[],4, FALSE),"Unknown customer")</f>
        <v>Blessing Eze</v>
      </c>
      <c r="Q20" s="29" t="str">
        <f>_xlfn.IFNA(VLOOKUP(Sales[[#This Row],[customer_id]], Cust[], 10, FALSE), "Unknown customer")</f>
        <v>Retail</v>
      </c>
      <c r="R20" s="29">
        <f>SUM(Sales[quantity]*Sales[[#This Row],[unit_price_ngn]]*(1-Sales[[#This Row],[discount_pct]]))</f>
        <v>34000</v>
      </c>
      <c r="S20" s="29">
        <f>Sales[[#This Row],[revenue]]-(Sales[[#This Row],[quantity]]*Sales[[#This Row],[unit_cost_ngn]])</f>
        <v>14500</v>
      </c>
      <c r="T20" s="41" t="str">
        <f>TEXT(Sales[order_date], "yyyy-mm")</f>
        <v>2025-03</v>
      </c>
    </row>
    <row r="21" spans="1:20" ht="15" customHeight="1" x14ac:dyDescent="0.25">
      <c r="A21" s="10" t="s">
        <v>198</v>
      </c>
      <c r="B21" s="11">
        <v>45733</v>
      </c>
      <c r="C21" s="10" t="s">
        <v>43</v>
      </c>
      <c r="D21" s="10" t="s">
        <v>44</v>
      </c>
      <c r="E21" s="10" t="s">
        <v>56</v>
      </c>
      <c r="F21" s="10" t="s">
        <v>199</v>
      </c>
      <c r="G21" s="10" t="s">
        <v>36</v>
      </c>
      <c r="H21" s="10">
        <v>2</v>
      </c>
      <c r="I21" s="10">
        <v>15500</v>
      </c>
      <c r="J21" s="10">
        <v>9900</v>
      </c>
      <c r="K21" s="12">
        <v>0</v>
      </c>
      <c r="L21" s="10">
        <v>2</v>
      </c>
      <c r="M21" s="28" t="s">
        <v>111</v>
      </c>
      <c r="N21" s="29">
        <f>_xlfn.IFNA(VLOOKUP(Sales[customer_id],Cust[],11,FALSE),"Unknown")</f>
        <v>500000</v>
      </c>
      <c r="O21" s="29" t="str">
        <f>_xlfn.IFNA(VLOOKUP(Sales[customer_id], Cust[], 7,FALSE),"Unknown customer")</f>
        <v>Abuja</v>
      </c>
      <c r="P21" s="29" t="str">
        <f>_xlfn.IFNA(VLOOKUP(Sales[[#This Row],[customer_id]],Cust[],4, FALSE),"Unknown customer")</f>
        <v>Sadiq Chukwu</v>
      </c>
      <c r="Q21" s="29" t="str">
        <f>_xlfn.IFNA(VLOOKUP(Sales[[#This Row],[customer_id]], Cust[], 10, FALSE), "Unknown customer")</f>
        <v>Wholesale</v>
      </c>
      <c r="R21" s="29">
        <f>SUM(Sales[quantity]*Sales[[#This Row],[unit_price_ngn]]*(1-Sales[[#This Row],[discount_pct]]))</f>
        <v>31000</v>
      </c>
      <c r="S21" s="29">
        <f>Sales[[#This Row],[revenue]]-(Sales[[#This Row],[quantity]]*Sales[[#This Row],[unit_cost_ngn]])</f>
        <v>11200</v>
      </c>
      <c r="T21" s="41" t="str">
        <f>TEXT(Sales[order_date], "yyyy-mm")</f>
        <v>2025-03</v>
      </c>
    </row>
    <row r="22" spans="1:20" ht="15" customHeight="1" x14ac:dyDescent="0.25">
      <c r="A22" s="10" t="s">
        <v>234</v>
      </c>
      <c r="B22" s="11">
        <v>45755</v>
      </c>
      <c r="C22" s="10" t="s">
        <v>43</v>
      </c>
      <c r="D22" s="10" t="s">
        <v>44</v>
      </c>
      <c r="E22" s="10" t="s">
        <v>75</v>
      </c>
      <c r="F22" s="10" t="s">
        <v>46</v>
      </c>
      <c r="G22" s="10" t="s">
        <v>47</v>
      </c>
      <c r="H22" s="10">
        <v>5</v>
      </c>
      <c r="I22" s="10">
        <v>9800</v>
      </c>
      <c r="J22" s="10">
        <v>7600</v>
      </c>
      <c r="K22" s="12">
        <v>0</v>
      </c>
      <c r="L22" s="10">
        <v>3</v>
      </c>
      <c r="M22" s="28" t="s">
        <v>235</v>
      </c>
      <c r="N22" s="29">
        <f>_xlfn.IFNA(VLOOKUP(Sales[customer_id],Cust[],11,FALSE),"Unknown")</f>
        <v>150000</v>
      </c>
      <c r="O22" s="29" t="str">
        <f>_xlfn.IFNA(VLOOKUP(Sales[customer_id], Cust[], 7,FALSE),"Unknown customer")</f>
        <v>Abuja</v>
      </c>
      <c r="P22" s="29" t="str">
        <f>_xlfn.IFNA(VLOOKUP(Sales[[#This Row],[customer_id]],Cust[],4, FALSE),"Unknown customer")</f>
        <v>Yemi Lawal</v>
      </c>
      <c r="Q22" s="29" t="str">
        <f>_xlfn.IFNA(VLOOKUP(Sales[[#This Row],[customer_id]], Cust[], 10, FALSE), "Unknown customer")</f>
        <v>Wholesale</v>
      </c>
      <c r="R22" s="29">
        <f>SUM(Sales[quantity]*Sales[[#This Row],[unit_price_ngn]]*(1-Sales[[#This Row],[discount_pct]]))</f>
        <v>49000</v>
      </c>
      <c r="S22" s="29">
        <f>Sales[[#This Row],[revenue]]-(Sales[[#This Row],[quantity]]*Sales[[#This Row],[unit_cost_ngn]])</f>
        <v>11000</v>
      </c>
      <c r="T22" s="41" t="str">
        <f>TEXT(Sales[order_date], "yyyy-mm")</f>
        <v>2025-04</v>
      </c>
    </row>
    <row r="23" spans="1:20" ht="15" customHeight="1" x14ac:dyDescent="0.25">
      <c r="A23" s="10" t="s">
        <v>238</v>
      </c>
      <c r="B23" s="11">
        <v>45757</v>
      </c>
      <c r="C23" s="10" t="s">
        <v>43</v>
      </c>
      <c r="D23" s="10" t="s">
        <v>44</v>
      </c>
      <c r="E23" s="10" t="s">
        <v>56</v>
      </c>
      <c r="F23" s="10" t="s">
        <v>199</v>
      </c>
      <c r="G23" s="10" t="s">
        <v>36</v>
      </c>
      <c r="H23" s="10">
        <v>1</v>
      </c>
      <c r="I23" s="10">
        <v>15500</v>
      </c>
      <c r="J23" s="10">
        <v>9900</v>
      </c>
      <c r="K23" s="12">
        <v>0</v>
      </c>
      <c r="L23" s="10">
        <v>3</v>
      </c>
      <c r="M23" s="28" t="s">
        <v>172</v>
      </c>
      <c r="N23" s="29">
        <f>_xlfn.IFNA(VLOOKUP(Sales[customer_id],Cust[],11,FALSE),"Unknown")</f>
        <v>500000</v>
      </c>
      <c r="O23" s="29" t="str">
        <f>_xlfn.IFNA(VLOOKUP(Sales[customer_id], Cust[], 7,FALSE),"Unknown customer")</f>
        <v>Abuja</v>
      </c>
      <c r="P23" s="29" t="str">
        <f>_xlfn.IFNA(VLOOKUP(Sales[[#This Row],[customer_id]],Cust[],4, FALSE),"Unknown customer")</f>
        <v>Adaeze Okafor</v>
      </c>
      <c r="Q23" s="29" t="str">
        <f>_xlfn.IFNA(VLOOKUP(Sales[[#This Row],[customer_id]], Cust[], 10, FALSE), "Unknown customer")</f>
        <v>Corporate</v>
      </c>
      <c r="R23" s="29">
        <f>SUM(Sales[quantity]*Sales[[#This Row],[unit_price_ngn]]*(1-Sales[[#This Row],[discount_pct]]))</f>
        <v>15500</v>
      </c>
      <c r="S23" s="29">
        <f>Sales[[#This Row],[revenue]]-(Sales[[#This Row],[quantity]]*Sales[[#This Row],[unit_cost_ngn]])</f>
        <v>5600</v>
      </c>
      <c r="T23" s="41" t="str">
        <f>TEXT(Sales[order_date], "yyyy-mm")</f>
        <v>2025-04</v>
      </c>
    </row>
    <row r="24" spans="1:20" ht="15" customHeight="1" x14ac:dyDescent="0.25">
      <c r="A24" s="10" t="s">
        <v>257</v>
      </c>
      <c r="B24" s="11">
        <v>45765</v>
      </c>
      <c r="C24" s="10" t="s">
        <v>43</v>
      </c>
      <c r="D24" s="10" t="s">
        <v>44</v>
      </c>
      <c r="E24" s="10" t="s">
        <v>75</v>
      </c>
      <c r="F24" s="10" t="s">
        <v>35</v>
      </c>
      <c r="G24" s="10" t="s">
        <v>36</v>
      </c>
      <c r="H24" s="10">
        <v>5</v>
      </c>
      <c r="I24" s="10">
        <v>18500</v>
      </c>
      <c r="J24" s="10">
        <v>11800</v>
      </c>
      <c r="K24" s="12">
        <v>0</v>
      </c>
      <c r="L24" s="10">
        <v>7</v>
      </c>
      <c r="M24" s="28" t="s">
        <v>52</v>
      </c>
      <c r="N24" s="29">
        <f>_xlfn.IFNA(VLOOKUP(Sales[customer_id],Cust[],11,FALSE),"Unknown")</f>
        <v>500000</v>
      </c>
      <c r="O24" s="29" t="str">
        <f>_xlfn.IFNA(VLOOKUP(Sales[customer_id], Cust[], 7,FALSE),"Unknown customer")</f>
        <v>Abuja</v>
      </c>
      <c r="P24" s="29" t="str">
        <f>_xlfn.IFNA(VLOOKUP(Sales[[#This Row],[customer_id]],Cust[],4, FALSE),"Unknown customer")</f>
        <v>Amaka Bello</v>
      </c>
      <c r="Q24" s="29" t="str">
        <f>_xlfn.IFNA(VLOOKUP(Sales[[#This Row],[customer_id]], Cust[], 10, FALSE), "Unknown customer")</f>
        <v>Retail</v>
      </c>
      <c r="R24" s="29">
        <f>SUM(Sales[quantity]*Sales[[#This Row],[unit_price_ngn]]*(1-Sales[[#This Row],[discount_pct]]))</f>
        <v>92500</v>
      </c>
      <c r="S24" s="29">
        <f>Sales[[#This Row],[revenue]]-(Sales[[#This Row],[quantity]]*Sales[[#This Row],[unit_cost_ngn]])</f>
        <v>33500</v>
      </c>
      <c r="T24" s="41" t="str">
        <f>TEXT(Sales[order_date], "yyyy-mm")</f>
        <v>2025-04</v>
      </c>
    </row>
    <row r="25" spans="1:20" ht="15" customHeight="1" x14ac:dyDescent="0.25">
      <c r="A25" s="10" t="s">
        <v>259</v>
      </c>
      <c r="B25" s="11">
        <v>45768</v>
      </c>
      <c r="C25" s="10" t="s">
        <v>43</v>
      </c>
      <c r="D25" s="10" t="s">
        <v>44</v>
      </c>
      <c r="E25" s="10" t="s">
        <v>75</v>
      </c>
      <c r="F25" s="10" t="s">
        <v>46</v>
      </c>
      <c r="G25" s="10" t="s">
        <v>47</v>
      </c>
      <c r="H25" s="10">
        <v>10</v>
      </c>
      <c r="I25" s="10">
        <v>9800</v>
      </c>
      <c r="J25" s="10">
        <v>7600</v>
      </c>
      <c r="K25" s="12">
        <v>0</v>
      </c>
      <c r="L25" s="10">
        <v>1</v>
      </c>
      <c r="M25" s="28" t="s">
        <v>260</v>
      </c>
      <c r="N25" s="29">
        <f>_xlfn.IFNA(VLOOKUP(Sales[customer_id],Cust[],11,FALSE),"Unknown")</f>
        <v>500000</v>
      </c>
      <c r="O25" s="29" t="str">
        <f>_xlfn.IFNA(VLOOKUP(Sales[customer_id], Cust[], 7,FALSE),"Unknown customer")</f>
        <v>Abuja</v>
      </c>
      <c r="P25" s="29" t="str">
        <f>_xlfn.IFNA(VLOOKUP(Sales[[#This Row],[customer_id]],Cust[],4, FALSE),"Unknown customer")</f>
        <v>Blessing Ibrahim</v>
      </c>
      <c r="Q25" s="29" t="str">
        <f>_xlfn.IFNA(VLOOKUP(Sales[[#This Row],[customer_id]], Cust[], 10, FALSE), "Unknown customer")</f>
        <v>Retail</v>
      </c>
      <c r="R25" s="29">
        <f>SUM(Sales[quantity]*Sales[[#This Row],[unit_price_ngn]]*(1-Sales[[#This Row],[discount_pct]]))</f>
        <v>98000</v>
      </c>
      <c r="S25" s="29">
        <f>Sales[[#This Row],[revenue]]-(Sales[[#This Row],[quantity]]*Sales[[#This Row],[unit_cost_ngn]])</f>
        <v>22000</v>
      </c>
      <c r="T25" s="41" t="str">
        <f>TEXT(Sales[order_date], "yyyy-mm")</f>
        <v>2025-04</v>
      </c>
    </row>
    <row r="26" spans="1:20" ht="15" customHeight="1" x14ac:dyDescent="0.25">
      <c r="A26" s="10" t="s">
        <v>264</v>
      </c>
      <c r="B26" s="11">
        <v>45770</v>
      </c>
      <c r="C26" s="10" t="s">
        <v>43</v>
      </c>
      <c r="D26" s="10" t="s">
        <v>44</v>
      </c>
      <c r="E26" s="10" t="s">
        <v>75</v>
      </c>
      <c r="F26" s="10" t="s">
        <v>46</v>
      </c>
      <c r="G26" s="10" t="s">
        <v>47</v>
      </c>
      <c r="H26" s="10">
        <v>2</v>
      </c>
      <c r="I26" s="10">
        <v>9800</v>
      </c>
      <c r="J26" s="10">
        <v>7600</v>
      </c>
      <c r="K26" s="12">
        <v>0</v>
      </c>
      <c r="L26" s="10">
        <v>3</v>
      </c>
      <c r="M26" s="28" t="s">
        <v>265</v>
      </c>
      <c r="N26" s="29">
        <f>_xlfn.IFNA(VLOOKUP(Sales[customer_id],Cust[],11,FALSE),"Unknown")</f>
        <v>150000</v>
      </c>
      <c r="O26" s="29" t="str">
        <f>_xlfn.IFNA(VLOOKUP(Sales[customer_id], Cust[], 7,FALSE),"Unknown customer")</f>
        <v>Abuja</v>
      </c>
      <c r="P26" s="29" t="str">
        <f>_xlfn.IFNA(VLOOKUP(Sales[[#This Row],[customer_id]],Cust[],4, FALSE),"Unknown customer")</f>
        <v>Funmi Okafor</v>
      </c>
      <c r="Q26" s="29" t="str">
        <f>_xlfn.IFNA(VLOOKUP(Sales[[#This Row],[customer_id]], Cust[], 10, FALSE), "Unknown customer")</f>
        <v>Corporate</v>
      </c>
      <c r="R26" s="29">
        <f>SUM(Sales[quantity]*Sales[[#This Row],[unit_price_ngn]]*(1-Sales[[#This Row],[discount_pct]]))</f>
        <v>19600</v>
      </c>
      <c r="S26" s="29">
        <f>Sales[[#This Row],[revenue]]-(Sales[[#This Row],[quantity]]*Sales[[#This Row],[unit_cost_ngn]])</f>
        <v>4400</v>
      </c>
      <c r="T26" s="41" t="str">
        <f>TEXT(Sales[order_date], "yyyy-mm")</f>
        <v>2025-04</v>
      </c>
    </row>
    <row r="27" spans="1:20" ht="15" customHeight="1" x14ac:dyDescent="0.25">
      <c r="A27" s="10" t="s">
        <v>273</v>
      </c>
      <c r="B27" s="11">
        <v>45777</v>
      </c>
      <c r="C27" s="10" t="s">
        <v>43</v>
      </c>
      <c r="D27" s="10" t="s">
        <v>44</v>
      </c>
      <c r="E27" s="10" t="s">
        <v>34</v>
      </c>
      <c r="F27" s="10" t="s">
        <v>101</v>
      </c>
      <c r="G27" s="10" t="s">
        <v>61</v>
      </c>
      <c r="H27" s="10">
        <v>1</v>
      </c>
      <c r="I27" s="10">
        <v>28000</v>
      </c>
      <c r="J27" s="10">
        <v>18500</v>
      </c>
      <c r="K27" s="12">
        <v>0</v>
      </c>
      <c r="L27" s="10">
        <v>3</v>
      </c>
      <c r="M27" s="28" t="s">
        <v>186</v>
      </c>
      <c r="N27" s="29">
        <f>_xlfn.IFNA(VLOOKUP(Sales[customer_id],Cust[],11,FALSE),"Unknown")</f>
        <v>500000</v>
      </c>
      <c r="O27" s="29" t="str">
        <f>_xlfn.IFNA(VLOOKUP(Sales[customer_id], Cust[], 7,FALSE),"Unknown customer")</f>
        <v>Abuja</v>
      </c>
      <c r="P27" s="29" t="str">
        <f>_xlfn.IFNA(VLOOKUP(Sales[[#This Row],[customer_id]],Cust[],4, FALSE),"Unknown customer")</f>
        <v>Kunle Jibril</v>
      </c>
      <c r="Q27" s="29" t="str">
        <f>_xlfn.IFNA(VLOOKUP(Sales[[#This Row],[customer_id]], Cust[], 10, FALSE), "Unknown customer")</f>
        <v>Wholesale</v>
      </c>
      <c r="R27" s="29">
        <f>SUM(Sales[quantity]*Sales[[#This Row],[unit_price_ngn]]*(1-Sales[[#This Row],[discount_pct]]))</f>
        <v>28000</v>
      </c>
      <c r="S27" s="29">
        <f>Sales[[#This Row],[revenue]]-(Sales[[#This Row],[quantity]]*Sales[[#This Row],[unit_cost_ngn]])</f>
        <v>9500</v>
      </c>
      <c r="T27" s="41" t="str">
        <f>TEXT(Sales[order_date], "yyyy-mm")</f>
        <v>2025-04</v>
      </c>
    </row>
    <row r="28" spans="1:20" ht="15" customHeight="1" x14ac:dyDescent="0.25">
      <c r="A28" s="10" t="s">
        <v>279</v>
      </c>
      <c r="B28" s="11">
        <v>45781</v>
      </c>
      <c r="C28" s="10" t="s">
        <v>43</v>
      </c>
      <c r="D28" s="10" t="s">
        <v>44</v>
      </c>
      <c r="E28" s="10" t="s">
        <v>45</v>
      </c>
      <c r="F28" s="10" t="s">
        <v>72</v>
      </c>
      <c r="G28" s="10" t="s">
        <v>47</v>
      </c>
      <c r="H28" s="10">
        <v>10</v>
      </c>
      <c r="I28" s="10">
        <v>46000</v>
      </c>
      <c r="J28" s="10">
        <v>39000</v>
      </c>
      <c r="K28" s="12">
        <v>0</v>
      </c>
      <c r="L28" s="10">
        <v>7</v>
      </c>
      <c r="M28" s="28" t="s">
        <v>280</v>
      </c>
      <c r="N28" s="29">
        <f>_xlfn.IFNA(VLOOKUP(Sales[customer_id],Cust[],11,FALSE),"Unknown")</f>
        <v>150000</v>
      </c>
      <c r="O28" s="29" t="str">
        <f>_xlfn.IFNA(VLOOKUP(Sales[customer_id], Cust[], 7,FALSE),"Unknown customer")</f>
        <v>Abuja</v>
      </c>
      <c r="P28" s="29" t="str">
        <f>_xlfn.IFNA(VLOOKUP(Sales[[#This Row],[customer_id]],Cust[],4, FALSE),"Unknown customer")</f>
        <v>Chinelo Lawal</v>
      </c>
      <c r="Q28" s="29" t="str">
        <f>_xlfn.IFNA(VLOOKUP(Sales[[#This Row],[customer_id]], Cust[], 10, FALSE), "Unknown customer")</f>
        <v>Retail</v>
      </c>
      <c r="R28" s="29">
        <f>SUM(Sales[quantity]*Sales[[#This Row],[unit_price_ngn]]*(1-Sales[[#This Row],[discount_pct]]))</f>
        <v>460000</v>
      </c>
      <c r="S28" s="29">
        <f>Sales[[#This Row],[revenue]]-(Sales[[#This Row],[quantity]]*Sales[[#This Row],[unit_cost_ngn]])</f>
        <v>70000</v>
      </c>
      <c r="T28" s="41" t="str">
        <f>TEXT(Sales[order_date], "yyyy-mm")</f>
        <v>2025-05</v>
      </c>
    </row>
    <row r="29" spans="1:20" ht="15" customHeight="1" x14ac:dyDescent="0.25">
      <c r="A29" s="10" t="s">
        <v>284</v>
      </c>
      <c r="B29" s="11">
        <v>45782</v>
      </c>
      <c r="C29" s="10" t="s">
        <v>43</v>
      </c>
      <c r="D29" s="10" t="s">
        <v>44</v>
      </c>
      <c r="E29" s="10" t="s">
        <v>75</v>
      </c>
      <c r="F29" s="10" t="s">
        <v>199</v>
      </c>
      <c r="G29" s="10" t="s">
        <v>36</v>
      </c>
      <c r="H29" s="10">
        <v>4</v>
      </c>
      <c r="I29" s="10">
        <v>15500</v>
      </c>
      <c r="J29" s="10">
        <v>9900</v>
      </c>
      <c r="K29" s="12">
        <v>0</v>
      </c>
      <c r="L29" s="10">
        <v>1</v>
      </c>
      <c r="M29" s="28" t="s">
        <v>48</v>
      </c>
      <c r="N29" s="29">
        <f>_xlfn.IFNA(VLOOKUP(Sales[customer_id],Cust[],11,FALSE),"Unknown")</f>
        <v>250000</v>
      </c>
      <c r="O29" s="29" t="str">
        <f>_xlfn.IFNA(VLOOKUP(Sales[customer_id], Cust[], 7,FALSE),"Unknown customer")</f>
        <v>Abuja</v>
      </c>
      <c r="P29" s="29" t="str">
        <f>_xlfn.IFNA(VLOOKUP(Sales[[#This Row],[customer_id]],Cust[],4, FALSE),"Unknown customer")</f>
        <v>Bola Musa</v>
      </c>
      <c r="Q29" s="29" t="str">
        <f>_xlfn.IFNA(VLOOKUP(Sales[[#This Row],[customer_id]], Cust[], 10, FALSE), "Unknown customer")</f>
        <v>Corporate</v>
      </c>
      <c r="R29" s="29">
        <f>SUM(Sales[quantity]*Sales[[#This Row],[unit_price_ngn]]*(1-Sales[[#This Row],[discount_pct]]))</f>
        <v>62000</v>
      </c>
      <c r="S29" s="29">
        <f>Sales[[#This Row],[revenue]]-(Sales[[#This Row],[quantity]]*Sales[[#This Row],[unit_cost_ngn]])</f>
        <v>22400</v>
      </c>
      <c r="T29" s="41" t="str">
        <f>TEXT(Sales[order_date], "yyyy-mm")</f>
        <v>2025-05</v>
      </c>
    </row>
    <row r="30" spans="1:20" ht="15" customHeight="1" x14ac:dyDescent="0.25">
      <c r="A30" s="10" t="s">
        <v>285</v>
      </c>
      <c r="B30" s="11">
        <v>45782</v>
      </c>
      <c r="C30" s="10" t="s">
        <v>43</v>
      </c>
      <c r="D30" s="10" t="s">
        <v>44</v>
      </c>
      <c r="E30" s="10" t="s">
        <v>34</v>
      </c>
      <c r="F30" s="10" t="s">
        <v>78</v>
      </c>
      <c r="G30" s="10" t="s">
        <v>36</v>
      </c>
      <c r="H30" s="10">
        <v>1</v>
      </c>
      <c r="I30" s="10">
        <v>22000</v>
      </c>
      <c r="J30" s="10">
        <v>13800</v>
      </c>
      <c r="K30" s="12">
        <v>0</v>
      </c>
      <c r="L30" s="10">
        <v>3</v>
      </c>
      <c r="M30" s="28" t="s">
        <v>52</v>
      </c>
      <c r="N30" s="29">
        <f>_xlfn.IFNA(VLOOKUP(Sales[customer_id],Cust[],11,FALSE),"Unknown")</f>
        <v>500000</v>
      </c>
      <c r="O30" s="29" t="str">
        <f>_xlfn.IFNA(VLOOKUP(Sales[customer_id], Cust[], 7,FALSE),"Unknown customer")</f>
        <v>Abuja</v>
      </c>
      <c r="P30" s="29" t="str">
        <f>_xlfn.IFNA(VLOOKUP(Sales[[#This Row],[customer_id]],Cust[],4, FALSE),"Unknown customer")</f>
        <v>Amaka Bello</v>
      </c>
      <c r="Q30" s="29" t="str">
        <f>_xlfn.IFNA(VLOOKUP(Sales[[#This Row],[customer_id]], Cust[], 10, FALSE), "Unknown customer")</f>
        <v>Retail</v>
      </c>
      <c r="R30" s="29">
        <f>SUM(Sales[quantity]*Sales[[#This Row],[unit_price_ngn]]*(1-Sales[[#This Row],[discount_pct]]))</f>
        <v>22000</v>
      </c>
      <c r="S30" s="29">
        <f>Sales[[#This Row],[revenue]]-(Sales[[#This Row],[quantity]]*Sales[[#This Row],[unit_cost_ngn]])</f>
        <v>8200</v>
      </c>
      <c r="T30" s="41" t="str">
        <f>TEXT(Sales[order_date], "yyyy-mm")</f>
        <v>2025-05</v>
      </c>
    </row>
    <row r="31" spans="1:20" ht="15" customHeight="1" x14ac:dyDescent="0.25">
      <c r="A31" s="10" t="s">
        <v>291</v>
      </c>
      <c r="B31" s="11">
        <v>45788</v>
      </c>
      <c r="C31" s="10" t="s">
        <v>43</v>
      </c>
      <c r="D31" s="10" t="s">
        <v>44</v>
      </c>
      <c r="E31" s="10" t="s">
        <v>34</v>
      </c>
      <c r="F31" s="10" t="s">
        <v>69</v>
      </c>
      <c r="G31" s="10" t="s">
        <v>66</v>
      </c>
      <c r="H31" s="10">
        <v>1</v>
      </c>
      <c r="I31" s="10">
        <v>32000</v>
      </c>
      <c r="J31" s="10">
        <v>21000</v>
      </c>
      <c r="K31" s="12">
        <v>0.1</v>
      </c>
      <c r="L31" s="10">
        <v>2</v>
      </c>
      <c r="M31" s="28" t="s">
        <v>157</v>
      </c>
      <c r="N31" s="29">
        <f>_xlfn.IFNA(VLOOKUP(Sales[customer_id],Cust[],11,FALSE),"Unknown")</f>
        <v>150000</v>
      </c>
      <c r="O31" s="29" t="str">
        <f>_xlfn.IFNA(VLOOKUP(Sales[customer_id], Cust[], 7,FALSE),"Unknown customer")</f>
        <v>Abuja</v>
      </c>
      <c r="P31" s="29" t="str">
        <f>_xlfn.IFNA(VLOOKUP(Sales[[#This Row],[customer_id]],Cust[],4, FALSE),"Unknown customer")</f>
        <v>Emeka Fashola</v>
      </c>
      <c r="Q31" s="29" t="str">
        <f>_xlfn.IFNA(VLOOKUP(Sales[[#This Row],[customer_id]], Cust[], 10, FALSE), "Unknown customer")</f>
        <v>Retail</v>
      </c>
      <c r="R31" s="29">
        <f>SUM(Sales[quantity]*Sales[[#This Row],[unit_price_ngn]]*(1-Sales[[#This Row],[discount_pct]]))</f>
        <v>28800</v>
      </c>
      <c r="S31" s="29">
        <f>Sales[[#This Row],[revenue]]-(Sales[[#This Row],[quantity]]*Sales[[#This Row],[unit_cost_ngn]])</f>
        <v>7800</v>
      </c>
      <c r="T31" s="41" t="str">
        <f>TEXT(Sales[order_date], "yyyy-mm")</f>
        <v>2025-05</v>
      </c>
    </row>
    <row r="32" spans="1:20" ht="15" customHeight="1" x14ac:dyDescent="0.25">
      <c r="A32" s="10" t="s">
        <v>294</v>
      </c>
      <c r="B32" s="11">
        <v>45790</v>
      </c>
      <c r="C32" s="10" t="s">
        <v>43</v>
      </c>
      <c r="D32" s="10" t="s">
        <v>44</v>
      </c>
      <c r="E32" s="10" t="s">
        <v>34</v>
      </c>
      <c r="F32" s="10" t="s">
        <v>57</v>
      </c>
      <c r="G32" s="10" t="s">
        <v>51</v>
      </c>
      <c r="H32" s="10">
        <v>1</v>
      </c>
      <c r="I32" s="10">
        <v>27500</v>
      </c>
      <c r="J32" s="10">
        <v>16500</v>
      </c>
      <c r="K32" s="12">
        <v>0</v>
      </c>
      <c r="L32" s="10">
        <v>2</v>
      </c>
      <c r="M32" s="28" t="s">
        <v>172</v>
      </c>
      <c r="N32" s="29">
        <f>_xlfn.IFNA(VLOOKUP(Sales[customer_id],Cust[],11,FALSE),"Unknown")</f>
        <v>500000</v>
      </c>
      <c r="O32" s="29" t="str">
        <f>_xlfn.IFNA(VLOOKUP(Sales[customer_id], Cust[], 7,FALSE),"Unknown customer")</f>
        <v>Abuja</v>
      </c>
      <c r="P32" s="29" t="str">
        <f>_xlfn.IFNA(VLOOKUP(Sales[[#This Row],[customer_id]],Cust[],4, FALSE),"Unknown customer")</f>
        <v>Adaeze Okafor</v>
      </c>
      <c r="Q32" s="29" t="str">
        <f>_xlfn.IFNA(VLOOKUP(Sales[[#This Row],[customer_id]], Cust[], 10, FALSE), "Unknown customer")</f>
        <v>Corporate</v>
      </c>
      <c r="R32" s="29">
        <f>SUM(Sales[quantity]*Sales[[#This Row],[unit_price_ngn]]*(1-Sales[[#This Row],[discount_pct]]))</f>
        <v>27500</v>
      </c>
      <c r="S32" s="29">
        <f>Sales[[#This Row],[revenue]]-(Sales[[#This Row],[quantity]]*Sales[[#This Row],[unit_cost_ngn]])</f>
        <v>11000</v>
      </c>
      <c r="T32" s="41" t="str">
        <f>TEXT(Sales[order_date], "yyyy-mm")</f>
        <v>2025-05</v>
      </c>
    </row>
    <row r="33" spans="1:20" ht="15" customHeight="1" x14ac:dyDescent="0.25">
      <c r="A33" s="10" t="s">
        <v>298</v>
      </c>
      <c r="B33" s="11">
        <v>45794</v>
      </c>
      <c r="C33" s="10" t="s">
        <v>43</v>
      </c>
      <c r="D33" s="10" t="s">
        <v>44</v>
      </c>
      <c r="E33" s="10" t="s">
        <v>56</v>
      </c>
      <c r="F33" s="10" t="s">
        <v>35</v>
      </c>
      <c r="G33" s="10" t="s">
        <v>36</v>
      </c>
      <c r="H33" s="10">
        <v>8</v>
      </c>
      <c r="I33" s="10">
        <v>18500</v>
      </c>
      <c r="J33" s="10">
        <v>11800</v>
      </c>
      <c r="K33" s="12">
        <v>0</v>
      </c>
      <c r="L33" s="10">
        <v>2</v>
      </c>
      <c r="M33" s="28" t="s">
        <v>186</v>
      </c>
      <c r="N33" s="29">
        <f>_xlfn.IFNA(VLOOKUP(Sales[customer_id],Cust[],11,FALSE),"Unknown")</f>
        <v>500000</v>
      </c>
      <c r="O33" s="29" t="str">
        <f>_xlfn.IFNA(VLOOKUP(Sales[customer_id], Cust[], 7,FALSE),"Unknown customer")</f>
        <v>Abuja</v>
      </c>
      <c r="P33" s="29" t="str">
        <f>_xlfn.IFNA(VLOOKUP(Sales[[#This Row],[customer_id]],Cust[],4, FALSE),"Unknown customer")</f>
        <v>Kunle Jibril</v>
      </c>
      <c r="Q33" s="29" t="str">
        <f>_xlfn.IFNA(VLOOKUP(Sales[[#This Row],[customer_id]], Cust[], 10, FALSE), "Unknown customer")</f>
        <v>Wholesale</v>
      </c>
      <c r="R33" s="29">
        <f>SUM(Sales[quantity]*Sales[[#This Row],[unit_price_ngn]]*(1-Sales[[#This Row],[discount_pct]]))</f>
        <v>148000</v>
      </c>
      <c r="S33" s="29">
        <f>Sales[[#This Row],[revenue]]-(Sales[[#This Row],[quantity]]*Sales[[#This Row],[unit_cost_ngn]])</f>
        <v>53600</v>
      </c>
      <c r="T33" s="41" t="str">
        <f>TEXT(Sales[order_date], "yyyy-mm")</f>
        <v>2025-05</v>
      </c>
    </row>
    <row r="34" spans="1:20" ht="15" customHeight="1" x14ac:dyDescent="0.25">
      <c r="A34" s="10" t="s">
        <v>303</v>
      </c>
      <c r="B34" s="11">
        <v>45797</v>
      </c>
      <c r="C34" s="10" t="s">
        <v>43</v>
      </c>
      <c r="D34" s="10" t="s">
        <v>44</v>
      </c>
      <c r="E34" s="10" t="s">
        <v>34</v>
      </c>
      <c r="F34" s="10" t="s">
        <v>199</v>
      </c>
      <c r="G34" s="10" t="s">
        <v>36</v>
      </c>
      <c r="H34" s="10">
        <v>1</v>
      </c>
      <c r="I34" s="10">
        <v>15500</v>
      </c>
      <c r="J34" s="10">
        <v>9900</v>
      </c>
      <c r="K34" s="12">
        <v>0</v>
      </c>
      <c r="L34" s="10">
        <v>7</v>
      </c>
      <c r="M34" s="28" t="s">
        <v>172</v>
      </c>
      <c r="N34" s="29">
        <f>_xlfn.IFNA(VLOOKUP(Sales[customer_id],Cust[],11,FALSE),"Unknown")</f>
        <v>500000</v>
      </c>
      <c r="O34" s="29" t="str">
        <f>_xlfn.IFNA(VLOOKUP(Sales[customer_id], Cust[], 7,FALSE),"Unknown customer")</f>
        <v>Abuja</v>
      </c>
      <c r="P34" s="29" t="str">
        <f>_xlfn.IFNA(VLOOKUP(Sales[[#This Row],[customer_id]],Cust[],4, FALSE),"Unknown customer")</f>
        <v>Adaeze Okafor</v>
      </c>
      <c r="Q34" s="29" t="str">
        <f>_xlfn.IFNA(VLOOKUP(Sales[[#This Row],[customer_id]], Cust[], 10, FALSE), "Unknown customer")</f>
        <v>Corporate</v>
      </c>
      <c r="R34" s="29">
        <f>SUM(Sales[quantity]*Sales[[#This Row],[unit_price_ngn]]*(1-Sales[[#This Row],[discount_pct]]))</f>
        <v>15500</v>
      </c>
      <c r="S34" s="29">
        <f>Sales[[#This Row],[revenue]]-(Sales[[#This Row],[quantity]]*Sales[[#This Row],[unit_cost_ngn]])</f>
        <v>5600</v>
      </c>
      <c r="T34" s="41" t="str">
        <f>TEXT(Sales[order_date], "yyyy-mm")</f>
        <v>2025-05</v>
      </c>
    </row>
    <row r="35" spans="1:20" ht="15" customHeight="1" x14ac:dyDescent="0.25">
      <c r="A35" s="10" t="s">
        <v>314</v>
      </c>
      <c r="B35" s="11">
        <v>45806</v>
      </c>
      <c r="C35" s="10" t="s">
        <v>43</v>
      </c>
      <c r="D35" s="10" t="s">
        <v>44</v>
      </c>
      <c r="E35" s="10" t="s">
        <v>45</v>
      </c>
      <c r="F35" s="10" t="s">
        <v>101</v>
      </c>
      <c r="G35" s="10" t="s">
        <v>61</v>
      </c>
      <c r="H35" s="10">
        <v>1</v>
      </c>
      <c r="I35" s="10">
        <v>28000</v>
      </c>
      <c r="J35" s="10">
        <v>18500</v>
      </c>
      <c r="K35" s="12">
        <v>0</v>
      </c>
      <c r="L35" s="10">
        <v>2</v>
      </c>
      <c r="M35" s="28" t="s">
        <v>104</v>
      </c>
      <c r="N35" s="29">
        <f>_xlfn.IFNA(VLOOKUP(Sales[customer_id],Cust[],11,FALSE),"Unknown")</f>
        <v>50000</v>
      </c>
      <c r="O35" s="29" t="str">
        <f>_xlfn.IFNA(VLOOKUP(Sales[customer_id], Cust[], 7,FALSE),"Unknown customer")</f>
        <v>Abuja</v>
      </c>
      <c r="P35" s="29" t="str">
        <f>_xlfn.IFNA(VLOOKUP(Sales[[#This Row],[customer_id]],Cust[],4, FALSE),"Unknown customer")</f>
        <v>Halima Ibrahim</v>
      </c>
      <c r="Q35" s="29" t="str">
        <f>_xlfn.IFNA(VLOOKUP(Sales[[#This Row],[customer_id]], Cust[], 10, FALSE), "Unknown customer")</f>
        <v>Retail</v>
      </c>
      <c r="R35" s="29">
        <f>SUM(Sales[quantity]*Sales[[#This Row],[unit_price_ngn]]*(1-Sales[[#This Row],[discount_pct]]))</f>
        <v>28000</v>
      </c>
      <c r="S35" s="29">
        <f>Sales[[#This Row],[revenue]]-(Sales[[#This Row],[quantity]]*Sales[[#This Row],[unit_cost_ngn]])</f>
        <v>9500</v>
      </c>
      <c r="T35" s="41" t="str">
        <f>TEXT(Sales[order_date], "yyyy-mm")</f>
        <v>2025-05</v>
      </c>
    </row>
    <row r="36" spans="1:20" ht="15" customHeight="1" x14ac:dyDescent="0.25">
      <c r="A36" s="10" t="s">
        <v>320</v>
      </c>
      <c r="B36" s="11">
        <v>45809</v>
      </c>
      <c r="C36" s="10" t="s">
        <v>43</v>
      </c>
      <c r="D36" s="10" t="s">
        <v>44</v>
      </c>
      <c r="E36" s="10" t="s">
        <v>45</v>
      </c>
      <c r="F36" s="10" t="s">
        <v>72</v>
      </c>
      <c r="G36" s="10" t="s">
        <v>47</v>
      </c>
      <c r="H36" s="10">
        <v>4</v>
      </c>
      <c r="I36" s="10">
        <v>46000</v>
      </c>
      <c r="J36" s="10">
        <v>39000</v>
      </c>
      <c r="K36" s="12">
        <v>0</v>
      </c>
      <c r="L36" s="10">
        <v>3</v>
      </c>
      <c r="M36" s="28" t="s">
        <v>161</v>
      </c>
      <c r="N36" s="29">
        <f>_xlfn.IFNA(VLOOKUP(Sales[customer_id],Cust[],11,FALSE),"Unknown")</f>
        <v>50000</v>
      </c>
      <c r="O36" s="29" t="str">
        <f>_xlfn.IFNA(VLOOKUP(Sales[customer_id], Cust[], 7,FALSE),"Unknown customer")</f>
        <v>Abuja</v>
      </c>
      <c r="P36" s="29" t="str">
        <f>_xlfn.IFNA(VLOOKUP(Sales[[#This Row],[customer_id]],Cust[],4, FALSE),"Unknown customer")</f>
        <v>Tunde Sanni</v>
      </c>
      <c r="Q36" s="29" t="str">
        <f>_xlfn.IFNA(VLOOKUP(Sales[[#This Row],[customer_id]], Cust[], 10, FALSE), "Unknown customer")</f>
        <v>Corporate</v>
      </c>
      <c r="R36" s="29">
        <f>SUM(Sales[quantity]*Sales[[#This Row],[unit_price_ngn]]*(1-Sales[[#This Row],[discount_pct]]))</f>
        <v>184000</v>
      </c>
      <c r="S36" s="29">
        <f>Sales[[#This Row],[revenue]]-(Sales[[#This Row],[quantity]]*Sales[[#This Row],[unit_cost_ngn]])</f>
        <v>28000</v>
      </c>
      <c r="T36" s="41" t="str">
        <f>TEXT(Sales[order_date], "yyyy-mm")</f>
        <v>2025-06</v>
      </c>
    </row>
    <row r="37" spans="1:20" ht="15" customHeight="1" x14ac:dyDescent="0.25">
      <c r="A37" s="10" t="s">
        <v>321</v>
      </c>
      <c r="B37" s="11">
        <v>45809</v>
      </c>
      <c r="C37" s="10" t="s">
        <v>43</v>
      </c>
      <c r="D37" s="10" t="s">
        <v>44</v>
      </c>
      <c r="E37" s="10" t="s">
        <v>56</v>
      </c>
      <c r="F37" s="10" t="s">
        <v>35</v>
      </c>
      <c r="G37" s="10" t="s">
        <v>36</v>
      </c>
      <c r="H37" s="10">
        <v>1</v>
      </c>
      <c r="I37" s="10">
        <v>18500</v>
      </c>
      <c r="J37" s="10">
        <v>11800</v>
      </c>
      <c r="K37" s="12">
        <v>0</v>
      </c>
      <c r="L37" s="10">
        <v>4</v>
      </c>
      <c r="M37" s="28" t="s">
        <v>322</v>
      </c>
      <c r="N37" s="29">
        <f>_xlfn.IFNA(VLOOKUP(Sales[customer_id],Cust[],11,FALSE),"Unknown")</f>
        <v>100000</v>
      </c>
      <c r="O37" s="29" t="str">
        <f>_xlfn.IFNA(VLOOKUP(Sales[customer_id], Cust[], 7,FALSE),"Unknown customer")</f>
        <v>Abuja</v>
      </c>
      <c r="P37" s="29" t="str">
        <f>_xlfn.IFNA(VLOOKUP(Sales[[#This Row],[customer_id]],Cust[],4, FALSE),"Unknown customer")</f>
        <v>Uche Danjuma</v>
      </c>
      <c r="Q37" s="29" t="str">
        <f>_xlfn.IFNA(VLOOKUP(Sales[[#This Row],[customer_id]], Cust[], 10, FALSE), "Unknown customer")</f>
        <v>Retail</v>
      </c>
      <c r="R37" s="29">
        <f>SUM(Sales[quantity]*Sales[[#This Row],[unit_price_ngn]]*(1-Sales[[#This Row],[discount_pct]]))</f>
        <v>18500</v>
      </c>
      <c r="S37" s="29">
        <f>Sales[[#This Row],[revenue]]-(Sales[[#This Row],[quantity]]*Sales[[#This Row],[unit_cost_ngn]])</f>
        <v>6700</v>
      </c>
      <c r="T37" s="41" t="str">
        <f>TEXT(Sales[order_date], "yyyy-mm")</f>
        <v>2025-06</v>
      </c>
    </row>
    <row r="38" spans="1:20" ht="15" customHeight="1" x14ac:dyDescent="0.25">
      <c r="A38" s="10" t="s">
        <v>329</v>
      </c>
      <c r="B38" s="11">
        <v>45812</v>
      </c>
      <c r="C38" s="10" t="s">
        <v>43</v>
      </c>
      <c r="D38" s="10" t="s">
        <v>44</v>
      </c>
      <c r="E38" s="10" t="s">
        <v>45</v>
      </c>
      <c r="F38" s="10" t="s">
        <v>65</v>
      </c>
      <c r="G38" s="10" t="s">
        <v>66</v>
      </c>
      <c r="H38" s="10">
        <v>1</v>
      </c>
      <c r="I38" s="10">
        <v>24000</v>
      </c>
      <c r="J38" s="10">
        <v>14500</v>
      </c>
      <c r="K38" s="12">
        <v>0</v>
      </c>
      <c r="L38" s="10">
        <v>1</v>
      </c>
      <c r="M38" s="28" t="s">
        <v>157</v>
      </c>
      <c r="N38" s="29">
        <f>_xlfn.IFNA(VLOOKUP(Sales[customer_id],Cust[],11,FALSE),"Unknown")</f>
        <v>150000</v>
      </c>
      <c r="O38" s="29" t="str">
        <f>_xlfn.IFNA(VLOOKUP(Sales[customer_id], Cust[], 7,FALSE),"Unknown customer")</f>
        <v>Abuja</v>
      </c>
      <c r="P38" s="29" t="str">
        <f>_xlfn.IFNA(VLOOKUP(Sales[[#This Row],[customer_id]],Cust[],4, FALSE),"Unknown customer")</f>
        <v>Emeka Fashola</v>
      </c>
      <c r="Q38" s="29" t="str">
        <f>_xlfn.IFNA(VLOOKUP(Sales[[#This Row],[customer_id]], Cust[], 10, FALSE), "Unknown customer")</f>
        <v>Retail</v>
      </c>
      <c r="R38" s="29">
        <f>SUM(Sales[quantity]*Sales[[#This Row],[unit_price_ngn]]*(1-Sales[[#This Row],[discount_pct]]))</f>
        <v>24000</v>
      </c>
      <c r="S38" s="29">
        <f>Sales[[#This Row],[revenue]]-(Sales[[#This Row],[quantity]]*Sales[[#This Row],[unit_cost_ngn]])</f>
        <v>9500</v>
      </c>
      <c r="T38" s="41" t="str">
        <f>TEXT(Sales[order_date], "yyyy-mm")</f>
        <v>2025-06</v>
      </c>
    </row>
    <row r="39" spans="1:20" ht="15" customHeight="1" x14ac:dyDescent="0.25">
      <c r="A39" s="10" t="s">
        <v>330</v>
      </c>
      <c r="B39" s="11">
        <v>45812</v>
      </c>
      <c r="C39" s="10" t="s">
        <v>43</v>
      </c>
      <c r="D39" s="10" t="s">
        <v>44</v>
      </c>
      <c r="E39" s="10" t="s">
        <v>45</v>
      </c>
      <c r="F39" s="10" t="s">
        <v>57</v>
      </c>
      <c r="G39" s="10" t="s">
        <v>51</v>
      </c>
      <c r="H39" s="10">
        <v>3</v>
      </c>
      <c r="I39" s="10">
        <v>27500</v>
      </c>
      <c r="J39" s="10">
        <v>16500</v>
      </c>
      <c r="K39" s="12">
        <v>0</v>
      </c>
      <c r="L39" s="10">
        <v>4</v>
      </c>
      <c r="M39" s="28" t="s">
        <v>70</v>
      </c>
      <c r="N39" s="29">
        <f>_xlfn.IFNA(VLOOKUP(Sales[customer_id],Cust[],11,FALSE),"Unknown")</f>
        <v>250000</v>
      </c>
      <c r="O39" s="29" t="str">
        <f>_xlfn.IFNA(VLOOKUP(Sales[customer_id], Cust[], 7,FALSE),"Unknown customer")</f>
        <v>Abuja</v>
      </c>
      <c r="P39" s="29" t="str">
        <f>_xlfn.IFNA(VLOOKUP(Sales[[#This Row],[customer_id]],Cust[],4, FALSE),"Unknown customer")</f>
        <v>Funmi Musa</v>
      </c>
      <c r="Q39" s="29" t="str">
        <f>_xlfn.IFNA(VLOOKUP(Sales[[#This Row],[customer_id]], Cust[], 10, FALSE), "Unknown customer")</f>
        <v>Wholesale</v>
      </c>
      <c r="R39" s="29">
        <f>SUM(Sales[quantity]*Sales[[#This Row],[unit_price_ngn]]*(1-Sales[[#This Row],[discount_pct]]))</f>
        <v>82500</v>
      </c>
      <c r="S39" s="29">
        <f>Sales[[#This Row],[revenue]]-(Sales[[#This Row],[quantity]]*Sales[[#This Row],[unit_cost_ngn]])</f>
        <v>33000</v>
      </c>
      <c r="T39" s="41" t="str">
        <f>TEXT(Sales[order_date], "yyyy-mm")</f>
        <v>2025-06</v>
      </c>
    </row>
    <row r="40" spans="1:20" ht="15" customHeight="1" x14ac:dyDescent="0.25">
      <c r="A40" s="10" t="s">
        <v>332</v>
      </c>
      <c r="B40" s="11">
        <v>45816</v>
      </c>
      <c r="C40" s="10" t="s">
        <v>43</v>
      </c>
      <c r="D40" s="10" t="s">
        <v>44</v>
      </c>
      <c r="E40" s="10" t="s">
        <v>34</v>
      </c>
      <c r="F40" s="10" t="s">
        <v>88</v>
      </c>
      <c r="G40" s="10" t="s">
        <v>89</v>
      </c>
      <c r="H40" s="10">
        <v>5</v>
      </c>
      <c r="I40" s="10">
        <v>6800</v>
      </c>
      <c r="J40" s="10">
        <v>3900</v>
      </c>
      <c r="K40" s="12">
        <v>0</v>
      </c>
      <c r="L40" s="10">
        <v>5</v>
      </c>
      <c r="M40" s="28" t="s">
        <v>188</v>
      </c>
      <c r="N40" s="29">
        <f>_xlfn.IFNA(VLOOKUP(Sales[customer_id],Cust[],11,FALSE),"Unknown")</f>
        <v>500000</v>
      </c>
      <c r="O40" s="29" t="str">
        <f>_xlfn.IFNA(VLOOKUP(Sales[customer_id], Cust[], 7,FALSE),"Unknown customer")</f>
        <v>Abuja</v>
      </c>
      <c r="P40" s="29" t="str">
        <f>_xlfn.IFNA(VLOOKUP(Sales[[#This Row],[customer_id]],Cust[],4, FALSE),"Unknown customer")</f>
        <v>Ifeoma Adebayo</v>
      </c>
      <c r="Q40" s="29" t="str">
        <f>_xlfn.IFNA(VLOOKUP(Sales[[#This Row],[customer_id]], Cust[], 10, FALSE), "Unknown customer")</f>
        <v>Retail</v>
      </c>
      <c r="R40" s="29">
        <f>SUM(Sales[quantity]*Sales[[#This Row],[unit_price_ngn]]*(1-Sales[[#This Row],[discount_pct]]))</f>
        <v>34000</v>
      </c>
      <c r="S40" s="29">
        <f>Sales[[#This Row],[revenue]]-(Sales[[#This Row],[quantity]]*Sales[[#This Row],[unit_cost_ngn]])</f>
        <v>14500</v>
      </c>
      <c r="T40" s="41" t="str">
        <f>TEXT(Sales[order_date], "yyyy-mm")</f>
        <v>2025-06</v>
      </c>
    </row>
    <row r="41" spans="1:20" ht="15" customHeight="1" x14ac:dyDescent="0.25">
      <c r="A41" s="10" t="s">
        <v>337</v>
      </c>
      <c r="B41" s="11">
        <v>45819</v>
      </c>
      <c r="C41" s="10" t="s">
        <v>43</v>
      </c>
      <c r="D41" s="10" t="s">
        <v>44</v>
      </c>
      <c r="E41" s="10" t="s">
        <v>45</v>
      </c>
      <c r="F41" s="10" t="s">
        <v>101</v>
      </c>
      <c r="G41" s="10" t="s">
        <v>61</v>
      </c>
      <c r="H41" s="10">
        <v>1</v>
      </c>
      <c r="I41" s="10">
        <v>28000</v>
      </c>
      <c r="J41" s="10">
        <v>18500</v>
      </c>
      <c r="K41" s="12">
        <v>0</v>
      </c>
      <c r="L41" s="10">
        <v>3</v>
      </c>
      <c r="M41" s="28" t="s">
        <v>70</v>
      </c>
      <c r="N41" s="29">
        <f>_xlfn.IFNA(VLOOKUP(Sales[customer_id],Cust[],11,FALSE),"Unknown")</f>
        <v>250000</v>
      </c>
      <c r="O41" s="29" t="str">
        <f>_xlfn.IFNA(VLOOKUP(Sales[customer_id], Cust[], 7,FALSE),"Unknown customer")</f>
        <v>Abuja</v>
      </c>
      <c r="P41" s="29" t="str">
        <f>_xlfn.IFNA(VLOOKUP(Sales[[#This Row],[customer_id]],Cust[],4, FALSE),"Unknown customer")</f>
        <v>Funmi Musa</v>
      </c>
      <c r="Q41" s="29" t="str">
        <f>_xlfn.IFNA(VLOOKUP(Sales[[#This Row],[customer_id]], Cust[], 10, FALSE), "Unknown customer")</f>
        <v>Wholesale</v>
      </c>
      <c r="R41" s="29">
        <f>SUM(Sales[quantity]*Sales[[#This Row],[unit_price_ngn]]*(1-Sales[[#This Row],[discount_pct]]))</f>
        <v>28000</v>
      </c>
      <c r="S41" s="29">
        <f>Sales[[#This Row],[revenue]]-(Sales[[#This Row],[quantity]]*Sales[[#This Row],[unit_cost_ngn]])</f>
        <v>9500</v>
      </c>
      <c r="T41" s="41" t="str">
        <f>TEXT(Sales[order_date], "yyyy-mm")</f>
        <v>2025-06</v>
      </c>
    </row>
    <row r="42" spans="1:20" ht="15" customHeight="1" x14ac:dyDescent="0.25">
      <c r="A42" s="10" t="s">
        <v>345</v>
      </c>
      <c r="B42" s="11">
        <v>45824</v>
      </c>
      <c r="C42" s="10" t="s">
        <v>43</v>
      </c>
      <c r="D42" s="10" t="s">
        <v>44</v>
      </c>
      <c r="E42" s="10" t="s">
        <v>45</v>
      </c>
      <c r="F42" s="10" t="s">
        <v>88</v>
      </c>
      <c r="G42" s="10" t="s">
        <v>89</v>
      </c>
      <c r="H42" s="10">
        <v>1</v>
      </c>
      <c r="I42" s="10">
        <v>6800</v>
      </c>
      <c r="J42" s="10">
        <v>3900</v>
      </c>
      <c r="K42" s="12">
        <v>0</v>
      </c>
      <c r="L42" s="10">
        <v>7</v>
      </c>
      <c r="M42" s="28" t="s">
        <v>48</v>
      </c>
      <c r="N42" s="29">
        <f>_xlfn.IFNA(VLOOKUP(Sales[customer_id],Cust[],11,FALSE),"Unknown")</f>
        <v>250000</v>
      </c>
      <c r="O42" s="29" t="str">
        <f>_xlfn.IFNA(VLOOKUP(Sales[customer_id], Cust[], 7,FALSE),"Unknown customer")</f>
        <v>Abuja</v>
      </c>
      <c r="P42" s="29" t="str">
        <f>_xlfn.IFNA(VLOOKUP(Sales[[#This Row],[customer_id]],Cust[],4, FALSE),"Unknown customer")</f>
        <v>Bola Musa</v>
      </c>
      <c r="Q42" s="29" t="str">
        <f>_xlfn.IFNA(VLOOKUP(Sales[[#This Row],[customer_id]], Cust[], 10, FALSE), "Unknown customer")</f>
        <v>Corporate</v>
      </c>
      <c r="R42" s="29">
        <f>SUM(Sales[quantity]*Sales[[#This Row],[unit_price_ngn]]*(1-Sales[[#This Row],[discount_pct]]))</f>
        <v>6800</v>
      </c>
      <c r="S42" s="29">
        <f>Sales[[#This Row],[revenue]]-(Sales[[#This Row],[quantity]]*Sales[[#This Row],[unit_cost_ngn]])</f>
        <v>2900</v>
      </c>
      <c r="T42" s="41" t="str">
        <f>TEXT(Sales[order_date], "yyyy-mm")</f>
        <v>2025-06</v>
      </c>
    </row>
    <row r="43" spans="1:20" ht="15" customHeight="1" x14ac:dyDescent="0.25">
      <c r="A43" s="10" t="s">
        <v>350</v>
      </c>
      <c r="B43" s="11">
        <v>45828</v>
      </c>
      <c r="C43" s="10" t="s">
        <v>43</v>
      </c>
      <c r="D43" s="10" t="s">
        <v>44</v>
      </c>
      <c r="E43" s="10" t="s">
        <v>75</v>
      </c>
      <c r="F43" s="10" t="s">
        <v>35</v>
      </c>
      <c r="G43" s="10" t="s">
        <v>36</v>
      </c>
      <c r="H43" s="10">
        <v>1</v>
      </c>
      <c r="I43" s="10">
        <v>18500</v>
      </c>
      <c r="J43" s="10">
        <v>11800</v>
      </c>
      <c r="K43" s="12">
        <v>0</v>
      </c>
      <c r="L43" s="10">
        <v>2</v>
      </c>
      <c r="M43" s="28" t="s">
        <v>70</v>
      </c>
      <c r="N43" s="29">
        <f>_xlfn.IFNA(VLOOKUP(Sales[customer_id],Cust[],11,FALSE),"Unknown")</f>
        <v>250000</v>
      </c>
      <c r="O43" s="29" t="str">
        <f>_xlfn.IFNA(VLOOKUP(Sales[customer_id], Cust[], 7,FALSE),"Unknown customer")</f>
        <v>Abuja</v>
      </c>
      <c r="P43" s="29" t="str">
        <f>_xlfn.IFNA(VLOOKUP(Sales[[#This Row],[customer_id]],Cust[],4, FALSE),"Unknown customer")</f>
        <v>Funmi Musa</v>
      </c>
      <c r="Q43" s="29" t="str">
        <f>_xlfn.IFNA(VLOOKUP(Sales[[#This Row],[customer_id]], Cust[], 10, FALSE), "Unknown customer")</f>
        <v>Wholesale</v>
      </c>
      <c r="R43" s="29">
        <f>SUM(Sales[quantity]*Sales[[#This Row],[unit_price_ngn]]*(1-Sales[[#This Row],[discount_pct]]))</f>
        <v>18500</v>
      </c>
      <c r="S43" s="29">
        <f>Sales[[#This Row],[revenue]]-(Sales[[#This Row],[quantity]]*Sales[[#This Row],[unit_cost_ngn]])</f>
        <v>6700</v>
      </c>
      <c r="T43" s="41" t="str">
        <f>TEXT(Sales[order_date], "yyyy-mm")</f>
        <v>2025-06</v>
      </c>
    </row>
    <row r="44" spans="1:20" ht="15" customHeight="1" x14ac:dyDescent="0.25">
      <c r="A44" s="10" t="s">
        <v>352</v>
      </c>
      <c r="B44" s="11">
        <v>45829</v>
      </c>
      <c r="C44" s="10" t="s">
        <v>43</v>
      </c>
      <c r="D44" s="10" t="s">
        <v>44</v>
      </c>
      <c r="E44" s="10" t="s">
        <v>45</v>
      </c>
      <c r="F44" s="10" t="s">
        <v>57</v>
      </c>
      <c r="G44" s="10" t="s">
        <v>51</v>
      </c>
      <c r="H44" s="10">
        <v>2</v>
      </c>
      <c r="I44" s="10">
        <v>27500</v>
      </c>
      <c r="J44" s="10">
        <v>16500</v>
      </c>
      <c r="K44" s="12">
        <v>0.05</v>
      </c>
      <c r="L44" s="10">
        <v>4</v>
      </c>
      <c r="M44" s="28" t="s">
        <v>157</v>
      </c>
      <c r="N44" s="29">
        <f>_xlfn.IFNA(VLOOKUP(Sales[customer_id],Cust[],11,FALSE),"Unknown")</f>
        <v>150000</v>
      </c>
      <c r="O44" s="29" t="str">
        <f>_xlfn.IFNA(VLOOKUP(Sales[customer_id], Cust[], 7,FALSE),"Unknown customer")</f>
        <v>Abuja</v>
      </c>
      <c r="P44" s="29" t="str">
        <f>_xlfn.IFNA(VLOOKUP(Sales[[#This Row],[customer_id]],Cust[],4, FALSE),"Unknown customer")</f>
        <v>Emeka Fashola</v>
      </c>
      <c r="Q44" s="29" t="str">
        <f>_xlfn.IFNA(VLOOKUP(Sales[[#This Row],[customer_id]], Cust[], 10, FALSE), "Unknown customer")</f>
        <v>Retail</v>
      </c>
      <c r="R44" s="29">
        <f>SUM(Sales[quantity]*Sales[[#This Row],[unit_price_ngn]]*(1-Sales[[#This Row],[discount_pct]]))</f>
        <v>52250</v>
      </c>
      <c r="S44" s="29">
        <f>Sales[[#This Row],[revenue]]-(Sales[[#This Row],[quantity]]*Sales[[#This Row],[unit_cost_ngn]])</f>
        <v>19250</v>
      </c>
      <c r="T44" s="41" t="str">
        <f>TEXT(Sales[order_date], "yyyy-mm")</f>
        <v>2025-06</v>
      </c>
    </row>
    <row r="45" spans="1:20" ht="15" customHeight="1" x14ac:dyDescent="0.25">
      <c r="A45" s="10" t="s">
        <v>353</v>
      </c>
      <c r="B45" s="11">
        <v>45829</v>
      </c>
      <c r="C45" s="10" t="s">
        <v>43</v>
      </c>
      <c r="D45" s="10" t="s">
        <v>44</v>
      </c>
      <c r="E45" s="10" t="s">
        <v>56</v>
      </c>
      <c r="F45" s="10" t="s">
        <v>50</v>
      </c>
      <c r="G45" s="10" t="s">
        <v>51</v>
      </c>
      <c r="H45" s="10">
        <v>1</v>
      </c>
      <c r="I45" s="10">
        <v>41000</v>
      </c>
      <c r="J45" s="10">
        <v>25000</v>
      </c>
      <c r="K45" s="12">
        <v>0</v>
      </c>
      <c r="L45" s="10">
        <v>3</v>
      </c>
      <c r="M45" s="28" t="s">
        <v>111</v>
      </c>
      <c r="N45" s="29">
        <f>_xlfn.IFNA(VLOOKUP(Sales[customer_id],Cust[],11,FALSE),"Unknown")</f>
        <v>500000</v>
      </c>
      <c r="O45" s="29" t="str">
        <f>_xlfn.IFNA(VLOOKUP(Sales[customer_id], Cust[], 7,FALSE),"Unknown customer")</f>
        <v>Abuja</v>
      </c>
      <c r="P45" s="29" t="str">
        <f>_xlfn.IFNA(VLOOKUP(Sales[[#This Row],[customer_id]],Cust[],4, FALSE),"Unknown customer")</f>
        <v>Sadiq Chukwu</v>
      </c>
      <c r="Q45" s="29" t="str">
        <f>_xlfn.IFNA(VLOOKUP(Sales[[#This Row],[customer_id]], Cust[], 10, FALSE), "Unknown customer")</f>
        <v>Wholesale</v>
      </c>
      <c r="R45" s="29">
        <f>SUM(Sales[quantity]*Sales[[#This Row],[unit_price_ngn]]*(1-Sales[[#This Row],[discount_pct]]))</f>
        <v>41000</v>
      </c>
      <c r="S45" s="29">
        <f>Sales[[#This Row],[revenue]]-(Sales[[#This Row],[quantity]]*Sales[[#This Row],[unit_cost_ngn]])</f>
        <v>16000</v>
      </c>
      <c r="T45" s="41" t="str">
        <f>TEXT(Sales[order_date], "yyyy-mm")</f>
        <v>2025-06</v>
      </c>
    </row>
    <row r="46" spans="1:20" ht="15" customHeight="1" x14ac:dyDescent="0.25">
      <c r="A46" s="10" t="s">
        <v>357</v>
      </c>
      <c r="B46" s="11">
        <v>45832</v>
      </c>
      <c r="C46" s="10" t="s">
        <v>43</v>
      </c>
      <c r="D46" s="10" t="s">
        <v>44</v>
      </c>
      <c r="E46" s="10" t="s">
        <v>75</v>
      </c>
      <c r="F46" s="10" t="s">
        <v>35</v>
      </c>
      <c r="G46" s="10" t="s">
        <v>36</v>
      </c>
      <c r="H46" s="10">
        <v>1</v>
      </c>
      <c r="I46" s="10">
        <v>18500</v>
      </c>
      <c r="J46" s="10">
        <v>11800</v>
      </c>
      <c r="K46" s="12">
        <v>0</v>
      </c>
      <c r="L46" s="10">
        <v>3</v>
      </c>
      <c r="M46" s="28" t="s">
        <v>111</v>
      </c>
      <c r="N46" s="29">
        <f>_xlfn.IFNA(VLOOKUP(Sales[customer_id],Cust[],11,FALSE),"Unknown")</f>
        <v>500000</v>
      </c>
      <c r="O46" s="29" t="str">
        <f>_xlfn.IFNA(VLOOKUP(Sales[customer_id], Cust[], 7,FALSE),"Unknown customer")</f>
        <v>Abuja</v>
      </c>
      <c r="P46" s="29" t="str">
        <f>_xlfn.IFNA(VLOOKUP(Sales[[#This Row],[customer_id]],Cust[],4, FALSE),"Unknown customer")</f>
        <v>Sadiq Chukwu</v>
      </c>
      <c r="Q46" s="29" t="str">
        <f>_xlfn.IFNA(VLOOKUP(Sales[[#This Row],[customer_id]], Cust[], 10, FALSE), "Unknown customer")</f>
        <v>Wholesale</v>
      </c>
      <c r="R46" s="29">
        <f>SUM(Sales[quantity]*Sales[[#This Row],[unit_price_ngn]]*(1-Sales[[#This Row],[discount_pct]]))</f>
        <v>18500</v>
      </c>
      <c r="S46" s="29">
        <f>Sales[[#This Row],[revenue]]-(Sales[[#This Row],[quantity]]*Sales[[#This Row],[unit_cost_ngn]])</f>
        <v>6700</v>
      </c>
      <c r="T46" s="41" t="str">
        <f>TEXT(Sales[order_date], "yyyy-mm")</f>
        <v>2025-06</v>
      </c>
    </row>
    <row r="47" spans="1:20" ht="15" customHeight="1" x14ac:dyDescent="0.25">
      <c r="A47" s="10" t="s">
        <v>377</v>
      </c>
      <c r="B47" s="11">
        <v>45842</v>
      </c>
      <c r="C47" s="10" t="s">
        <v>43</v>
      </c>
      <c r="D47" s="10" t="s">
        <v>44</v>
      </c>
      <c r="E47" s="10" t="s">
        <v>75</v>
      </c>
      <c r="F47" s="10" t="s">
        <v>72</v>
      </c>
      <c r="G47" s="10" t="s">
        <v>47</v>
      </c>
      <c r="H47" s="10">
        <v>5</v>
      </c>
      <c r="I47" s="10">
        <v>46000</v>
      </c>
      <c r="J47" s="10">
        <v>39000</v>
      </c>
      <c r="K47" s="12">
        <v>0</v>
      </c>
      <c r="L47" s="10">
        <v>3</v>
      </c>
      <c r="M47" s="28" t="s">
        <v>52</v>
      </c>
      <c r="N47" s="29">
        <f>_xlfn.IFNA(VLOOKUP(Sales[customer_id],Cust[],11,FALSE),"Unknown")</f>
        <v>500000</v>
      </c>
      <c r="O47" s="29" t="str">
        <f>_xlfn.IFNA(VLOOKUP(Sales[customer_id], Cust[], 7,FALSE),"Unknown customer")</f>
        <v>Abuja</v>
      </c>
      <c r="P47" s="29" t="str">
        <f>_xlfn.IFNA(VLOOKUP(Sales[[#This Row],[customer_id]],Cust[],4, FALSE),"Unknown customer")</f>
        <v>Amaka Bello</v>
      </c>
      <c r="Q47" s="29" t="str">
        <f>_xlfn.IFNA(VLOOKUP(Sales[[#This Row],[customer_id]], Cust[], 10, FALSE), "Unknown customer")</f>
        <v>Retail</v>
      </c>
      <c r="R47" s="29">
        <f>SUM(Sales[quantity]*Sales[[#This Row],[unit_price_ngn]]*(1-Sales[[#This Row],[discount_pct]]))</f>
        <v>230000</v>
      </c>
      <c r="S47" s="29">
        <f>Sales[[#This Row],[revenue]]-(Sales[[#This Row],[quantity]]*Sales[[#This Row],[unit_cost_ngn]])</f>
        <v>35000</v>
      </c>
      <c r="T47" s="41" t="str">
        <f>TEXT(Sales[order_date], "yyyy-mm")</f>
        <v>2025-07</v>
      </c>
    </row>
    <row r="48" spans="1:20" ht="15" customHeight="1" x14ac:dyDescent="0.25">
      <c r="A48" s="10" t="s">
        <v>379</v>
      </c>
      <c r="B48" s="11">
        <v>45845</v>
      </c>
      <c r="C48" s="10" t="s">
        <v>43</v>
      </c>
      <c r="D48" s="10" t="s">
        <v>44</v>
      </c>
      <c r="E48" s="10" t="s">
        <v>75</v>
      </c>
      <c r="F48" s="10" t="s">
        <v>72</v>
      </c>
      <c r="G48" s="10" t="s">
        <v>47</v>
      </c>
      <c r="H48" s="10">
        <v>5</v>
      </c>
      <c r="I48" s="10">
        <v>46000</v>
      </c>
      <c r="J48" s="10">
        <v>39000</v>
      </c>
      <c r="K48" s="12">
        <v>0</v>
      </c>
      <c r="L48" s="10">
        <v>4</v>
      </c>
      <c r="M48" s="28" t="s">
        <v>260</v>
      </c>
      <c r="N48" s="29">
        <f>_xlfn.IFNA(VLOOKUP(Sales[customer_id],Cust[],11,FALSE),"Unknown")</f>
        <v>500000</v>
      </c>
      <c r="O48" s="29" t="str">
        <f>_xlfn.IFNA(VLOOKUP(Sales[customer_id], Cust[], 7,FALSE),"Unknown customer")</f>
        <v>Abuja</v>
      </c>
      <c r="P48" s="29" t="str">
        <f>_xlfn.IFNA(VLOOKUP(Sales[[#This Row],[customer_id]],Cust[],4, FALSE),"Unknown customer")</f>
        <v>Blessing Ibrahim</v>
      </c>
      <c r="Q48" s="29" t="str">
        <f>_xlfn.IFNA(VLOOKUP(Sales[[#This Row],[customer_id]], Cust[], 10, FALSE), "Unknown customer")</f>
        <v>Retail</v>
      </c>
      <c r="R48" s="29">
        <f>SUM(Sales[quantity]*Sales[[#This Row],[unit_price_ngn]]*(1-Sales[[#This Row],[discount_pct]]))</f>
        <v>230000</v>
      </c>
      <c r="S48" s="29">
        <f>Sales[[#This Row],[revenue]]-(Sales[[#This Row],[quantity]]*Sales[[#This Row],[unit_cost_ngn]])</f>
        <v>35000</v>
      </c>
      <c r="T48" s="41" t="str">
        <f>TEXT(Sales[order_date], "yyyy-mm")</f>
        <v>2025-07</v>
      </c>
    </row>
    <row r="49" spans="1:20" ht="15" customHeight="1" x14ac:dyDescent="0.25">
      <c r="A49" s="10" t="s">
        <v>384</v>
      </c>
      <c r="B49" s="11">
        <v>45850</v>
      </c>
      <c r="C49" s="10" t="s">
        <v>43</v>
      </c>
      <c r="D49" s="10" t="s">
        <v>44</v>
      </c>
      <c r="E49" s="10" t="s">
        <v>75</v>
      </c>
      <c r="F49" s="10" t="s">
        <v>88</v>
      </c>
      <c r="G49" s="10" t="s">
        <v>89</v>
      </c>
      <c r="H49" s="10">
        <v>2</v>
      </c>
      <c r="I49" s="10">
        <v>6800</v>
      </c>
      <c r="J49" s="10">
        <v>3900</v>
      </c>
      <c r="K49" s="12">
        <v>0</v>
      </c>
      <c r="L49" s="10">
        <v>5</v>
      </c>
      <c r="M49" s="28" t="s">
        <v>385</v>
      </c>
      <c r="N49" s="29">
        <f>_xlfn.IFNA(VLOOKUP(Sales[customer_id],Cust[],11,FALSE),"Unknown")</f>
        <v>250000</v>
      </c>
      <c r="O49" s="29" t="str">
        <f>_xlfn.IFNA(VLOOKUP(Sales[customer_id], Cust[], 7,FALSE),"Unknown customer")</f>
        <v>Abuja</v>
      </c>
      <c r="P49" s="29" t="str">
        <f>_xlfn.IFNA(VLOOKUP(Sales[[#This Row],[customer_id]],Cust[],4, FALSE),"Unknown customer")</f>
        <v>Chidi Iheanacho</v>
      </c>
      <c r="Q49" s="29" t="str">
        <f>_xlfn.IFNA(VLOOKUP(Sales[[#This Row],[customer_id]], Cust[], 10, FALSE), "Unknown customer")</f>
        <v>Retail</v>
      </c>
      <c r="R49" s="29">
        <f>SUM(Sales[quantity]*Sales[[#This Row],[unit_price_ngn]]*(1-Sales[[#This Row],[discount_pct]]))</f>
        <v>13600</v>
      </c>
      <c r="S49" s="29">
        <f>Sales[[#This Row],[revenue]]-(Sales[[#This Row],[quantity]]*Sales[[#This Row],[unit_cost_ngn]])</f>
        <v>5800</v>
      </c>
      <c r="T49" s="41" t="str">
        <f>TEXT(Sales[order_date], "yyyy-mm")</f>
        <v>2025-07</v>
      </c>
    </row>
    <row r="50" spans="1:20" ht="15" customHeight="1" x14ac:dyDescent="0.25">
      <c r="A50" s="10" t="s">
        <v>388</v>
      </c>
      <c r="B50" s="11">
        <v>45853</v>
      </c>
      <c r="C50" s="10" t="s">
        <v>43</v>
      </c>
      <c r="D50" s="10" t="s">
        <v>44</v>
      </c>
      <c r="E50" s="10" t="s">
        <v>75</v>
      </c>
      <c r="F50" s="10" t="s">
        <v>69</v>
      </c>
      <c r="G50" s="10" t="s">
        <v>66</v>
      </c>
      <c r="H50" s="10">
        <v>1</v>
      </c>
      <c r="I50" s="10">
        <v>32000</v>
      </c>
      <c r="J50" s="10">
        <v>21000</v>
      </c>
      <c r="K50" s="12">
        <v>0</v>
      </c>
      <c r="L50" s="10">
        <v>2</v>
      </c>
      <c r="M50" s="28" t="s">
        <v>195</v>
      </c>
      <c r="N50" s="29">
        <f>_xlfn.IFNA(VLOOKUP(Sales[customer_id],Cust[],11,FALSE),"Unknown")</f>
        <v>250000</v>
      </c>
      <c r="O50" s="29" t="str">
        <f>_xlfn.IFNA(VLOOKUP(Sales[customer_id], Cust[], 7,FALSE),"Unknown customer")</f>
        <v>Abuja</v>
      </c>
      <c r="P50" s="29" t="str">
        <f>_xlfn.IFNA(VLOOKUP(Sales[[#This Row],[customer_id]],Cust[],4, FALSE),"Unknown customer")</f>
        <v>Blessing Eze</v>
      </c>
      <c r="Q50" s="29" t="str">
        <f>_xlfn.IFNA(VLOOKUP(Sales[[#This Row],[customer_id]], Cust[], 10, FALSE), "Unknown customer")</f>
        <v>Retail</v>
      </c>
      <c r="R50" s="29">
        <f>SUM(Sales[quantity]*Sales[[#This Row],[unit_price_ngn]]*(1-Sales[[#This Row],[discount_pct]]))</f>
        <v>32000</v>
      </c>
      <c r="S50" s="29">
        <f>Sales[[#This Row],[revenue]]-(Sales[[#This Row],[quantity]]*Sales[[#This Row],[unit_cost_ngn]])</f>
        <v>11000</v>
      </c>
      <c r="T50" s="41" t="str">
        <f>TEXT(Sales[order_date], "yyyy-mm")</f>
        <v>2025-07</v>
      </c>
    </row>
    <row r="51" spans="1:20" ht="15" customHeight="1" x14ac:dyDescent="0.25">
      <c r="A51" s="10" t="s">
        <v>389</v>
      </c>
      <c r="B51" s="11">
        <v>45853</v>
      </c>
      <c r="C51" s="10" t="s">
        <v>43</v>
      </c>
      <c r="D51" s="10" t="s">
        <v>44</v>
      </c>
      <c r="E51" s="10" t="s">
        <v>34</v>
      </c>
      <c r="F51" s="10" t="s">
        <v>57</v>
      </c>
      <c r="G51" s="10" t="s">
        <v>51</v>
      </c>
      <c r="H51" s="10">
        <v>2</v>
      </c>
      <c r="I51" s="10">
        <v>27500</v>
      </c>
      <c r="J51" s="10">
        <v>16500</v>
      </c>
      <c r="K51" s="12">
        <v>0</v>
      </c>
      <c r="L51" s="10">
        <v>7</v>
      </c>
      <c r="M51" s="28" t="s">
        <v>188</v>
      </c>
      <c r="N51" s="29">
        <f>_xlfn.IFNA(VLOOKUP(Sales[customer_id],Cust[],11,FALSE),"Unknown")</f>
        <v>500000</v>
      </c>
      <c r="O51" s="29" t="str">
        <f>_xlfn.IFNA(VLOOKUP(Sales[customer_id], Cust[], 7,FALSE),"Unknown customer")</f>
        <v>Abuja</v>
      </c>
      <c r="P51" s="29" t="str">
        <f>_xlfn.IFNA(VLOOKUP(Sales[[#This Row],[customer_id]],Cust[],4, FALSE),"Unknown customer")</f>
        <v>Ifeoma Adebayo</v>
      </c>
      <c r="Q51" s="29" t="str">
        <f>_xlfn.IFNA(VLOOKUP(Sales[[#This Row],[customer_id]], Cust[], 10, FALSE), "Unknown customer")</f>
        <v>Retail</v>
      </c>
      <c r="R51" s="29">
        <f>SUM(Sales[quantity]*Sales[[#This Row],[unit_price_ngn]]*(1-Sales[[#This Row],[discount_pct]]))</f>
        <v>55000</v>
      </c>
      <c r="S51" s="29">
        <f>Sales[[#This Row],[revenue]]-(Sales[[#This Row],[quantity]]*Sales[[#This Row],[unit_cost_ngn]])</f>
        <v>22000</v>
      </c>
      <c r="T51" s="41" t="str">
        <f>TEXT(Sales[order_date], "yyyy-mm")</f>
        <v>2025-07</v>
      </c>
    </row>
    <row r="52" spans="1:20" ht="15" customHeight="1" x14ac:dyDescent="0.25">
      <c r="A52" s="10" t="s">
        <v>402</v>
      </c>
      <c r="B52" s="11">
        <v>45865</v>
      </c>
      <c r="C52" s="10" t="s">
        <v>43</v>
      </c>
      <c r="D52" s="10" t="s">
        <v>44</v>
      </c>
      <c r="E52" s="10" t="s">
        <v>45</v>
      </c>
      <c r="F52" s="10" t="s">
        <v>88</v>
      </c>
      <c r="G52" s="10" t="s">
        <v>89</v>
      </c>
      <c r="H52" s="10">
        <v>4</v>
      </c>
      <c r="I52" s="10">
        <v>6800</v>
      </c>
      <c r="J52" s="10">
        <v>3900</v>
      </c>
      <c r="K52" s="12">
        <v>0</v>
      </c>
      <c r="L52" s="10">
        <v>2</v>
      </c>
      <c r="M52" s="28" t="s">
        <v>188</v>
      </c>
      <c r="N52" s="29">
        <f>_xlfn.IFNA(VLOOKUP(Sales[customer_id],Cust[],11,FALSE),"Unknown")</f>
        <v>500000</v>
      </c>
      <c r="O52" s="29" t="str">
        <f>_xlfn.IFNA(VLOOKUP(Sales[customer_id], Cust[], 7,FALSE),"Unknown customer")</f>
        <v>Abuja</v>
      </c>
      <c r="P52" s="29" t="str">
        <f>_xlfn.IFNA(VLOOKUP(Sales[[#This Row],[customer_id]],Cust[],4, FALSE),"Unknown customer")</f>
        <v>Ifeoma Adebayo</v>
      </c>
      <c r="Q52" s="29" t="str">
        <f>_xlfn.IFNA(VLOOKUP(Sales[[#This Row],[customer_id]], Cust[], 10, FALSE), "Unknown customer")</f>
        <v>Retail</v>
      </c>
      <c r="R52" s="29">
        <f>SUM(Sales[quantity]*Sales[[#This Row],[unit_price_ngn]]*(1-Sales[[#This Row],[discount_pct]]))</f>
        <v>27200</v>
      </c>
      <c r="S52" s="29">
        <f>Sales[[#This Row],[revenue]]-(Sales[[#This Row],[quantity]]*Sales[[#This Row],[unit_cost_ngn]])</f>
        <v>11600</v>
      </c>
      <c r="T52" s="41" t="str">
        <f>TEXT(Sales[order_date], "yyyy-mm")</f>
        <v>2025-07</v>
      </c>
    </row>
    <row r="53" spans="1:20" ht="15" customHeight="1" x14ac:dyDescent="0.25">
      <c r="A53" s="10" t="s">
        <v>405</v>
      </c>
      <c r="B53" s="11">
        <v>45866</v>
      </c>
      <c r="C53" s="10" t="s">
        <v>43</v>
      </c>
      <c r="D53" s="10" t="s">
        <v>44</v>
      </c>
      <c r="E53" s="10" t="s">
        <v>75</v>
      </c>
      <c r="F53" s="10" t="s">
        <v>88</v>
      </c>
      <c r="G53" s="10" t="s">
        <v>89</v>
      </c>
      <c r="H53" s="10">
        <v>5</v>
      </c>
      <c r="I53" s="10">
        <v>6800</v>
      </c>
      <c r="J53" s="10">
        <v>3900</v>
      </c>
      <c r="K53" s="12">
        <v>0</v>
      </c>
      <c r="L53" s="10">
        <v>2</v>
      </c>
      <c r="M53" s="28" t="s">
        <v>104</v>
      </c>
      <c r="N53" s="29">
        <f>_xlfn.IFNA(VLOOKUP(Sales[customer_id],Cust[],11,FALSE),"Unknown")</f>
        <v>50000</v>
      </c>
      <c r="O53" s="29" t="str">
        <f>_xlfn.IFNA(VLOOKUP(Sales[customer_id], Cust[], 7,FALSE),"Unknown customer")</f>
        <v>Abuja</v>
      </c>
      <c r="P53" s="29" t="str">
        <f>_xlfn.IFNA(VLOOKUP(Sales[[#This Row],[customer_id]],Cust[],4, FALSE),"Unknown customer")</f>
        <v>Halima Ibrahim</v>
      </c>
      <c r="Q53" s="29" t="str">
        <f>_xlfn.IFNA(VLOOKUP(Sales[[#This Row],[customer_id]], Cust[], 10, FALSE), "Unknown customer")</f>
        <v>Retail</v>
      </c>
      <c r="R53" s="29">
        <f>SUM(Sales[quantity]*Sales[[#This Row],[unit_price_ngn]]*(1-Sales[[#This Row],[discount_pct]]))</f>
        <v>34000</v>
      </c>
      <c r="S53" s="29">
        <f>Sales[[#This Row],[revenue]]-(Sales[[#This Row],[quantity]]*Sales[[#This Row],[unit_cost_ngn]])</f>
        <v>14500</v>
      </c>
      <c r="T53" s="41" t="str">
        <f>TEXT(Sales[order_date], "yyyy-mm")</f>
        <v>2025-07</v>
      </c>
    </row>
    <row r="54" spans="1:20" ht="15" customHeight="1" x14ac:dyDescent="0.25">
      <c r="A54" s="10" t="s">
        <v>407</v>
      </c>
      <c r="B54" s="11">
        <v>45868</v>
      </c>
      <c r="C54" s="10" t="s">
        <v>43</v>
      </c>
      <c r="D54" s="10" t="s">
        <v>44</v>
      </c>
      <c r="E54" s="10" t="s">
        <v>56</v>
      </c>
      <c r="F54" s="10" t="s">
        <v>57</v>
      </c>
      <c r="G54" s="10" t="s">
        <v>51</v>
      </c>
      <c r="H54" s="10">
        <v>1</v>
      </c>
      <c r="I54" s="10">
        <v>27500</v>
      </c>
      <c r="J54" s="10">
        <v>16500</v>
      </c>
      <c r="K54" s="12">
        <v>0</v>
      </c>
      <c r="L54" s="10">
        <v>5</v>
      </c>
      <c r="M54" s="28" t="s">
        <v>385</v>
      </c>
      <c r="N54" s="29">
        <f>_xlfn.IFNA(VLOOKUP(Sales[customer_id],Cust[],11,FALSE),"Unknown")</f>
        <v>250000</v>
      </c>
      <c r="O54" s="29" t="str">
        <f>_xlfn.IFNA(VLOOKUP(Sales[customer_id], Cust[], 7,FALSE),"Unknown customer")</f>
        <v>Abuja</v>
      </c>
      <c r="P54" s="29" t="str">
        <f>_xlfn.IFNA(VLOOKUP(Sales[[#This Row],[customer_id]],Cust[],4, FALSE),"Unknown customer")</f>
        <v>Chidi Iheanacho</v>
      </c>
      <c r="Q54" s="29" t="str">
        <f>_xlfn.IFNA(VLOOKUP(Sales[[#This Row],[customer_id]], Cust[], 10, FALSE), "Unknown customer")</f>
        <v>Retail</v>
      </c>
      <c r="R54" s="29">
        <f>SUM(Sales[quantity]*Sales[[#This Row],[unit_price_ngn]]*(1-Sales[[#This Row],[discount_pct]]))</f>
        <v>27500</v>
      </c>
      <c r="S54" s="29">
        <f>Sales[[#This Row],[revenue]]-(Sales[[#This Row],[quantity]]*Sales[[#This Row],[unit_cost_ngn]])</f>
        <v>11000</v>
      </c>
      <c r="T54" s="41" t="str">
        <f>TEXT(Sales[order_date], "yyyy-mm")</f>
        <v>2025-07</v>
      </c>
    </row>
    <row r="55" spans="1:20" ht="15" customHeight="1" x14ac:dyDescent="0.25">
      <c r="A55" s="10" t="s">
        <v>409</v>
      </c>
      <c r="B55" s="11">
        <v>45870</v>
      </c>
      <c r="C55" s="10" t="s">
        <v>43</v>
      </c>
      <c r="D55" s="10" t="s">
        <v>44</v>
      </c>
      <c r="E55" s="10" t="s">
        <v>56</v>
      </c>
      <c r="F55" s="10" t="s">
        <v>101</v>
      </c>
      <c r="G55" s="10" t="s">
        <v>61</v>
      </c>
      <c r="H55" s="10">
        <v>2</v>
      </c>
      <c r="I55" s="10">
        <v>28000</v>
      </c>
      <c r="J55" s="10">
        <v>18500</v>
      </c>
      <c r="K55" s="12">
        <v>0</v>
      </c>
      <c r="L55" s="10">
        <v>3</v>
      </c>
      <c r="M55" s="28" t="s">
        <v>161</v>
      </c>
      <c r="N55" s="29">
        <f>_xlfn.IFNA(VLOOKUP(Sales[customer_id],Cust[],11,FALSE),"Unknown")</f>
        <v>50000</v>
      </c>
      <c r="O55" s="29" t="str">
        <f>_xlfn.IFNA(VLOOKUP(Sales[customer_id], Cust[], 7,FALSE),"Unknown customer")</f>
        <v>Abuja</v>
      </c>
      <c r="P55" s="29" t="str">
        <f>_xlfn.IFNA(VLOOKUP(Sales[[#This Row],[customer_id]],Cust[],4, FALSE),"Unknown customer")</f>
        <v>Tunde Sanni</v>
      </c>
      <c r="Q55" s="29" t="str">
        <f>_xlfn.IFNA(VLOOKUP(Sales[[#This Row],[customer_id]], Cust[], 10, FALSE), "Unknown customer")</f>
        <v>Corporate</v>
      </c>
      <c r="R55" s="29">
        <f>SUM(Sales[quantity]*Sales[[#This Row],[unit_price_ngn]]*(1-Sales[[#This Row],[discount_pct]]))</f>
        <v>56000</v>
      </c>
      <c r="S55" s="29">
        <f>Sales[[#This Row],[revenue]]-(Sales[[#This Row],[quantity]]*Sales[[#This Row],[unit_cost_ngn]])</f>
        <v>19000</v>
      </c>
      <c r="T55" s="41" t="str">
        <f>TEXT(Sales[order_date], "yyyy-mm")</f>
        <v>2025-08</v>
      </c>
    </row>
    <row r="56" spans="1:20" ht="15" customHeight="1" x14ac:dyDescent="0.25">
      <c r="A56" s="10" t="s">
        <v>412</v>
      </c>
      <c r="B56" s="11">
        <v>45871</v>
      </c>
      <c r="C56" s="10" t="s">
        <v>43</v>
      </c>
      <c r="D56" s="10" t="s">
        <v>44</v>
      </c>
      <c r="E56" s="10" t="s">
        <v>34</v>
      </c>
      <c r="F56" s="10" t="s">
        <v>199</v>
      </c>
      <c r="G56" s="10" t="s">
        <v>36</v>
      </c>
      <c r="H56" s="10">
        <v>3</v>
      </c>
      <c r="I56" s="10">
        <v>15500</v>
      </c>
      <c r="J56" s="10">
        <v>9900</v>
      </c>
      <c r="K56" s="12">
        <v>0</v>
      </c>
      <c r="L56" s="10">
        <v>1</v>
      </c>
      <c r="M56" s="28" t="s">
        <v>235</v>
      </c>
      <c r="N56" s="29">
        <f>_xlfn.IFNA(VLOOKUP(Sales[customer_id],Cust[],11,FALSE),"Unknown")</f>
        <v>150000</v>
      </c>
      <c r="O56" s="29" t="str">
        <f>_xlfn.IFNA(VLOOKUP(Sales[customer_id], Cust[], 7,FALSE),"Unknown customer")</f>
        <v>Abuja</v>
      </c>
      <c r="P56" s="29" t="str">
        <f>_xlfn.IFNA(VLOOKUP(Sales[[#This Row],[customer_id]],Cust[],4, FALSE),"Unknown customer")</f>
        <v>Yemi Lawal</v>
      </c>
      <c r="Q56" s="29" t="str">
        <f>_xlfn.IFNA(VLOOKUP(Sales[[#This Row],[customer_id]], Cust[], 10, FALSE), "Unknown customer")</f>
        <v>Wholesale</v>
      </c>
      <c r="R56" s="29">
        <f>SUM(Sales[quantity]*Sales[[#This Row],[unit_price_ngn]]*(1-Sales[[#This Row],[discount_pct]]))</f>
        <v>46500</v>
      </c>
      <c r="S56" s="29">
        <f>Sales[[#This Row],[revenue]]-(Sales[[#This Row],[quantity]]*Sales[[#This Row],[unit_cost_ngn]])</f>
        <v>16800</v>
      </c>
      <c r="T56" s="41" t="str">
        <f>TEXT(Sales[order_date], "yyyy-mm")</f>
        <v>2025-08</v>
      </c>
    </row>
    <row r="57" spans="1:20" ht="15" customHeight="1" x14ac:dyDescent="0.25">
      <c r="A57" s="10" t="s">
        <v>413</v>
      </c>
      <c r="B57" s="11">
        <v>45871</v>
      </c>
      <c r="C57" s="10" t="s">
        <v>43</v>
      </c>
      <c r="D57" s="10" t="s">
        <v>44</v>
      </c>
      <c r="E57" s="10" t="s">
        <v>45</v>
      </c>
      <c r="F57" s="10" t="s">
        <v>57</v>
      </c>
      <c r="G57" s="10" t="s">
        <v>51</v>
      </c>
      <c r="H57" s="10">
        <v>3</v>
      </c>
      <c r="I57" s="10">
        <v>27500</v>
      </c>
      <c r="J57" s="10">
        <v>16500</v>
      </c>
      <c r="K57" s="12">
        <v>0</v>
      </c>
      <c r="L57" s="10">
        <v>1</v>
      </c>
      <c r="M57" s="28" t="s">
        <v>104</v>
      </c>
      <c r="N57" s="29">
        <f>_xlfn.IFNA(VLOOKUP(Sales[customer_id],Cust[],11,FALSE),"Unknown")</f>
        <v>50000</v>
      </c>
      <c r="O57" s="29" t="str">
        <f>_xlfn.IFNA(VLOOKUP(Sales[customer_id], Cust[], 7,FALSE),"Unknown customer")</f>
        <v>Abuja</v>
      </c>
      <c r="P57" s="29" t="str">
        <f>_xlfn.IFNA(VLOOKUP(Sales[[#This Row],[customer_id]],Cust[],4, FALSE),"Unknown customer")</f>
        <v>Halima Ibrahim</v>
      </c>
      <c r="Q57" s="29" t="str">
        <f>_xlfn.IFNA(VLOOKUP(Sales[[#This Row],[customer_id]], Cust[], 10, FALSE), "Unknown customer")</f>
        <v>Retail</v>
      </c>
      <c r="R57" s="29">
        <f>SUM(Sales[quantity]*Sales[[#This Row],[unit_price_ngn]]*(1-Sales[[#This Row],[discount_pct]]))</f>
        <v>82500</v>
      </c>
      <c r="S57" s="29">
        <f>Sales[[#This Row],[revenue]]-(Sales[[#This Row],[quantity]]*Sales[[#This Row],[unit_cost_ngn]])</f>
        <v>33000</v>
      </c>
      <c r="T57" s="41" t="str">
        <f>TEXT(Sales[order_date], "yyyy-mm")</f>
        <v>2025-08</v>
      </c>
    </row>
    <row r="58" spans="1:20" ht="15" customHeight="1" x14ac:dyDescent="0.25">
      <c r="A58" s="10" t="s">
        <v>416</v>
      </c>
      <c r="B58" s="11">
        <v>45874</v>
      </c>
      <c r="C58" s="10" t="s">
        <v>43</v>
      </c>
      <c r="D58" s="10" t="s">
        <v>44</v>
      </c>
      <c r="E58" s="10" t="s">
        <v>45</v>
      </c>
      <c r="F58" s="10" t="s">
        <v>69</v>
      </c>
      <c r="G58" s="10" t="s">
        <v>66</v>
      </c>
      <c r="H58" s="10">
        <v>1</v>
      </c>
      <c r="I58" s="10">
        <v>32000</v>
      </c>
      <c r="J58" s="10">
        <v>21000</v>
      </c>
      <c r="K58" s="12">
        <v>0</v>
      </c>
      <c r="L58" s="10">
        <v>10</v>
      </c>
      <c r="M58" s="28" t="s">
        <v>322</v>
      </c>
      <c r="N58" s="29">
        <f>_xlfn.IFNA(VLOOKUP(Sales[customer_id],Cust[],11,FALSE),"Unknown")</f>
        <v>100000</v>
      </c>
      <c r="O58" s="29" t="str">
        <f>_xlfn.IFNA(VLOOKUP(Sales[customer_id], Cust[], 7,FALSE),"Unknown customer")</f>
        <v>Abuja</v>
      </c>
      <c r="P58" s="29" t="str">
        <f>_xlfn.IFNA(VLOOKUP(Sales[[#This Row],[customer_id]],Cust[],4, FALSE),"Unknown customer")</f>
        <v>Uche Danjuma</v>
      </c>
      <c r="Q58" s="29" t="str">
        <f>_xlfn.IFNA(VLOOKUP(Sales[[#This Row],[customer_id]], Cust[], 10, FALSE), "Unknown customer")</f>
        <v>Retail</v>
      </c>
      <c r="R58" s="29">
        <f>SUM(Sales[quantity]*Sales[[#This Row],[unit_price_ngn]]*(1-Sales[[#This Row],[discount_pct]]))</f>
        <v>32000</v>
      </c>
      <c r="S58" s="29">
        <f>Sales[[#This Row],[revenue]]-(Sales[[#This Row],[quantity]]*Sales[[#This Row],[unit_cost_ngn]])</f>
        <v>11000</v>
      </c>
      <c r="T58" s="41" t="str">
        <f>TEXT(Sales[order_date], "yyyy-mm")</f>
        <v>2025-08</v>
      </c>
    </row>
    <row r="59" spans="1:20" ht="15" customHeight="1" x14ac:dyDescent="0.25">
      <c r="A59" s="10" t="s">
        <v>417</v>
      </c>
      <c r="B59" s="11">
        <v>45875</v>
      </c>
      <c r="C59" s="10" t="s">
        <v>43</v>
      </c>
      <c r="D59" s="10" t="s">
        <v>44</v>
      </c>
      <c r="E59" s="10" t="s">
        <v>56</v>
      </c>
      <c r="F59" s="10" t="s">
        <v>69</v>
      </c>
      <c r="G59" s="10" t="s">
        <v>66</v>
      </c>
      <c r="H59" s="10">
        <v>2</v>
      </c>
      <c r="I59" s="10">
        <v>32000</v>
      </c>
      <c r="J59" s="10">
        <v>21000</v>
      </c>
      <c r="K59" s="12">
        <v>0.1</v>
      </c>
      <c r="L59" s="10">
        <v>2</v>
      </c>
      <c r="M59" s="28" t="s">
        <v>418</v>
      </c>
      <c r="N59" s="29">
        <f>_xlfn.IFNA(VLOOKUP(Sales[customer_id],Cust[],11,FALSE),"Unknown")</f>
        <v>100000</v>
      </c>
      <c r="O59" s="29" t="str">
        <f>_xlfn.IFNA(VLOOKUP(Sales[customer_id], Cust[], 7,FALSE),"Unknown customer")</f>
        <v>Abuja</v>
      </c>
      <c r="P59" s="29" t="str">
        <f>_xlfn.IFNA(VLOOKUP(Sales[[#This Row],[customer_id]],Cust[],4, FALSE),"Unknown customer")</f>
        <v>Musa Adebayo</v>
      </c>
      <c r="Q59" s="29" t="str">
        <f>_xlfn.IFNA(VLOOKUP(Sales[[#This Row],[customer_id]], Cust[], 10, FALSE), "Unknown customer")</f>
        <v>Retail</v>
      </c>
      <c r="R59" s="29">
        <f>SUM(Sales[quantity]*Sales[[#This Row],[unit_price_ngn]]*(1-Sales[[#This Row],[discount_pct]]))</f>
        <v>57600</v>
      </c>
      <c r="S59" s="29">
        <f>Sales[[#This Row],[revenue]]-(Sales[[#This Row],[quantity]]*Sales[[#This Row],[unit_cost_ngn]])</f>
        <v>15600</v>
      </c>
      <c r="T59" s="41" t="str">
        <f>TEXT(Sales[order_date], "yyyy-mm")</f>
        <v>2025-08</v>
      </c>
    </row>
    <row r="60" spans="1:20" ht="15" customHeight="1" x14ac:dyDescent="0.25">
      <c r="A60" s="10" t="s">
        <v>421</v>
      </c>
      <c r="B60" s="11">
        <v>45878</v>
      </c>
      <c r="C60" s="10" t="s">
        <v>43</v>
      </c>
      <c r="D60" s="10" t="s">
        <v>44</v>
      </c>
      <c r="E60" s="10" t="s">
        <v>45</v>
      </c>
      <c r="F60" s="10" t="s">
        <v>60</v>
      </c>
      <c r="G60" s="10" t="s">
        <v>61</v>
      </c>
      <c r="H60" s="10">
        <v>4</v>
      </c>
      <c r="I60" s="10">
        <v>12000</v>
      </c>
      <c r="J60" s="10">
        <v>7200</v>
      </c>
      <c r="K60" s="12">
        <v>0</v>
      </c>
      <c r="L60" s="10">
        <v>3</v>
      </c>
      <c r="M60" s="28" t="s">
        <v>322</v>
      </c>
      <c r="N60" s="29">
        <f>_xlfn.IFNA(VLOOKUP(Sales[customer_id],Cust[],11,FALSE),"Unknown")</f>
        <v>100000</v>
      </c>
      <c r="O60" s="29" t="str">
        <f>_xlfn.IFNA(VLOOKUP(Sales[customer_id], Cust[], 7,FALSE),"Unknown customer")</f>
        <v>Abuja</v>
      </c>
      <c r="P60" s="29" t="str">
        <f>_xlfn.IFNA(VLOOKUP(Sales[[#This Row],[customer_id]],Cust[],4, FALSE),"Unknown customer")</f>
        <v>Uche Danjuma</v>
      </c>
      <c r="Q60" s="29" t="str">
        <f>_xlfn.IFNA(VLOOKUP(Sales[[#This Row],[customer_id]], Cust[], 10, FALSE), "Unknown customer")</f>
        <v>Retail</v>
      </c>
      <c r="R60" s="29">
        <f>SUM(Sales[quantity]*Sales[[#This Row],[unit_price_ngn]]*(1-Sales[[#This Row],[discount_pct]]))</f>
        <v>48000</v>
      </c>
      <c r="S60" s="29">
        <f>Sales[[#This Row],[revenue]]-(Sales[[#This Row],[quantity]]*Sales[[#This Row],[unit_cost_ngn]])</f>
        <v>19200</v>
      </c>
      <c r="T60" s="41" t="str">
        <f>TEXT(Sales[order_date], "yyyy-mm")</f>
        <v>2025-08</v>
      </c>
    </row>
    <row r="61" spans="1:20" ht="15" customHeight="1" x14ac:dyDescent="0.25">
      <c r="A61" s="10" t="s">
        <v>433</v>
      </c>
      <c r="B61" s="11">
        <v>45885</v>
      </c>
      <c r="C61" s="10" t="s">
        <v>43</v>
      </c>
      <c r="D61" s="10" t="s">
        <v>44</v>
      </c>
      <c r="E61" s="10" t="s">
        <v>45</v>
      </c>
      <c r="F61" s="10" t="s">
        <v>72</v>
      </c>
      <c r="G61" s="10" t="s">
        <v>47</v>
      </c>
      <c r="H61" s="10">
        <v>2</v>
      </c>
      <c r="I61" s="10">
        <v>46000</v>
      </c>
      <c r="J61" s="10">
        <v>39000</v>
      </c>
      <c r="K61" s="12">
        <v>0</v>
      </c>
      <c r="L61" s="10">
        <v>4</v>
      </c>
      <c r="M61" s="28" t="s">
        <v>280</v>
      </c>
      <c r="N61" s="29">
        <f>_xlfn.IFNA(VLOOKUP(Sales[customer_id],Cust[],11,FALSE),"Unknown")</f>
        <v>150000</v>
      </c>
      <c r="O61" s="29" t="str">
        <f>_xlfn.IFNA(VLOOKUP(Sales[customer_id], Cust[], 7,FALSE),"Unknown customer")</f>
        <v>Abuja</v>
      </c>
      <c r="P61" s="29" t="str">
        <f>_xlfn.IFNA(VLOOKUP(Sales[[#This Row],[customer_id]],Cust[],4, FALSE),"Unknown customer")</f>
        <v>Chinelo Lawal</v>
      </c>
      <c r="Q61" s="29" t="str">
        <f>_xlfn.IFNA(VLOOKUP(Sales[[#This Row],[customer_id]], Cust[], 10, FALSE), "Unknown customer")</f>
        <v>Retail</v>
      </c>
      <c r="R61" s="29">
        <f>SUM(Sales[quantity]*Sales[[#This Row],[unit_price_ngn]]*(1-Sales[[#This Row],[discount_pct]]))</f>
        <v>92000</v>
      </c>
      <c r="S61" s="29">
        <f>Sales[[#This Row],[revenue]]-(Sales[[#This Row],[quantity]]*Sales[[#This Row],[unit_cost_ngn]])</f>
        <v>14000</v>
      </c>
      <c r="T61" s="41" t="str">
        <f>TEXT(Sales[order_date], "yyyy-mm")</f>
        <v>2025-08</v>
      </c>
    </row>
    <row r="62" spans="1:20" ht="15" customHeight="1" x14ac:dyDescent="0.25">
      <c r="A62" s="10" t="s">
        <v>435</v>
      </c>
      <c r="B62" s="11">
        <v>45885</v>
      </c>
      <c r="C62" s="10" t="s">
        <v>43</v>
      </c>
      <c r="D62" s="10" t="s">
        <v>44</v>
      </c>
      <c r="E62" s="10" t="s">
        <v>45</v>
      </c>
      <c r="F62" s="10" t="s">
        <v>57</v>
      </c>
      <c r="G62" s="10" t="s">
        <v>51</v>
      </c>
      <c r="H62" s="10">
        <v>1</v>
      </c>
      <c r="I62" s="10">
        <v>27500</v>
      </c>
      <c r="J62" s="10">
        <v>16500</v>
      </c>
      <c r="K62" s="12">
        <v>0</v>
      </c>
      <c r="L62" s="10">
        <v>1</v>
      </c>
      <c r="M62" s="28" t="s">
        <v>280</v>
      </c>
      <c r="N62" s="29">
        <f>_xlfn.IFNA(VLOOKUP(Sales[customer_id],Cust[],11,FALSE),"Unknown")</f>
        <v>150000</v>
      </c>
      <c r="O62" s="29" t="str">
        <f>_xlfn.IFNA(VLOOKUP(Sales[customer_id], Cust[], 7,FALSE),"Unknown customer")</f>
        <v>Abuja</v>
      </c>
      <c r="P62" s="29" t="str">
        <f>_xlfn.IFNA(VLOOKUP(Sales[[#This Row],[customer_id]],Cust[],4, FALSE),"Unknown customer")</f>
        <v>Chinelo Lawal</v>
      </c>
      <c r="Q62" s="29" t="str">
        <f>_xlfn.IFNA(VLOOKUP(Sales[[#This Row],[customer_id]], Cust[], 10, FALSE), "Unknown customer")</f>
        <v>Retail</v>
      </c>
      <c r="R62" s="29">
        <f>SUM(Sales[quantity]*Sales[[#This Row],[unit_price_ngn]]*(1-Sales[[#This Row],[discount_pct]]))</f>
        <v>27500</v>
      </c>
      <c r="S62" s="29">
        <f>Sales[[#This Row],[revenue]]-(Sales[[#This Row],[quantity]]*Sales[[#This Row],[unit_cost_ngn]])</f>
        <v>11000</v>
      </c>
      <c r="T62" s="41" t="str">
        <f>TEXT(Sales[order_date], "yyyy-mm")</f>
        <v>2025-08</v>
      </c>
    </row>
    <row r="63" spans="1:20" ht="15" customHeight="1" x14ac:dyDescent="0.25">
      <c r="A63" s="10" t="s">
        <v>438</v>
      </c>
      <c r="B63" s="11">
        <v>45888</v>
      </c>
      <c r="C63" s="10" t="s">
        <v>43</v>
      </c>
      <c r="D63" s="10" t="s">
        <v>44</v>
      </c>
      <c r="E63" s="10" t="s">
        <v>75</v>
      </c>
      <c r="F63" s="10" t="s">
        <v>50</v>
      </c>
      <c r="G63" s="10" t="s">
        <v>51</v>
      </c>
      <c r="H63" s="10">
        <v>5</v>
      </c>
      <c r="I63" s="10">
        <v>41000</v>
      </c>
      <c r="J63" s="10">
        <v>25000</v>
      </c>
      <c r="K63" s="12">
        <v>0</v>
      </c>
      <c r="L63" s="10">
        <v>1</v>
      </c>
      <c r="M63" s="28" t="s">
        <v>172</v>
      </c>
      <c r="N63" s="29">
        <f>_xlfn.IFNA(VLOOKUP(Sales[customer_id],Cust[],11,FALSE),"Unknown")</f>
        <v>500000</v>
      </c>
      <c r="O63" s="29" t="str">
        <f>_xlfn.IFNA(VLOOKUP(Sales[customer_id], Cust[], 7,FALSE),"Unknown customer")</f>
        <v>Abuja</v>
      </c>
      <c r="P63" s="29" t="str">
        <f>_xlfn.IFNA(VLOOKUP(Sales[[#This Row],[customer_id]],Cust[],4, FALSE),"Unknown customer")</f>
        <v>Adaeze Okafor</v>
      </c>
      <c r="Q63" s="29" t="str">
        <f>_xlfn.IFNA(VLOOKUP(Sales[[#This Row],[customer_id]], Cust[], 10, FALSE), "Unknown customer")</f>
        <v>Corporate</v>
      </c>
      <c r="R63" s="29">
        <f>SUM(Sales[quantity]*Sales[[#This Row],[unit_price_ngn]]*(1-Sales[[#This Row],[discount_pct]]))</f>
        <v>205000</v>
      </c>
      <c r="S63" s="29">
        <f>Sales[[#This Row],[revenue]]-(Sales[[#This Row],[quantity]]*Sales[[#This Row],[unit_cost_ngn]])</f>
        <v>80000</v>
      </c>
      <c r="T63" s="41" t="str">
        <f>TEXT(Sales[order_date], "yyyy-mm")</f>
        <v>2025-08</v>
      </c>
    </row>
    <row r="64" spans="1:20" ht="15" customHeight="1" x14ac:dyDescent="0.25">
      <c r="A64" s="10" t="s">
        <v>442</v>
      </c>
      <c r="B64" s="11">
        <v>45889</v>
      </c>
      <c r="C64" s="10" t="s">
        <v>43</v>
      </c>
      <c r="D64" s="10" t="s">
        <v>44</v>
      </c>
      <c r="E64" s="10" t="s">
        <v>75</v>
      </c>
      <c r="F64" s="10" t="s">
        <v>199</v>
      </c>
      <c r="G64" s="10" t="s">
        <v>36</v>
      </c>
      <c r="H64" s="10">
        <v>2</v>
      </c>
      <c r="I64" s="10">
        <v>15500</v>
      </c>
      <c r="J64" s="10">
        <v>9900</v>
      </c>
      <c r="K64" s="12">
        <v>0</v>
      </c>
      <c r="L64" s="10">
        <v>7</v>
      </c>
      <c r="M64" s="28" t="s">
        <v>104</v>
      </c>
      <c r="N64" s="29">
        <f>_xlfn.IFNA(VLOOKUP(Sales[customer_id],Cust[],11,FALSE),"Unknown")</f>
        <v>50000</v>
      </c>
      <c r="O64" s="29" t="str">
        <f>_xlfn.IFNA(VLOOKUP(Sales[customer_id], Cust[], 7,FALSE),"Unknown customer")</f>
        <v>Abuja</v>
      </c>
      <c r="P64" s="29" t="str">
        <f>_xlfn.IFNA(VLOOKUP(Sales[[#This Row],[customer_id]],Cust[],4, FALSE),"Unknown customer")</f>
        <v>Halima Ibrahim</v>
      </c>
      <c r="Q64" s="29" t="str">
        <f>_xlfn.IFNA(VLOOKUP(Sales[[#This Row],[customer_id]], Cust[], 10, FALSE), "Unknown customer")</f>
        <v>Retail</v>
      </c>
      <c r="R64" s="29">
        <f>SUM(Sales[quantity]*Sales[[#This Row],[unit_price_ngn]]*(1-Sales[[#This Row],[discount_pct]]))</f>
        <v>31000</v>
      </c>
      <c r="S64" s="29">
        <f>Sales[[#This Row],[revenue]]-(Sales[[#This Row],[quantity]]*Sales[[#This Row],[unit_cost_ngn]])</f>
        <v>11200</v>
      </c>
      <c r="T64" s="41" t="str">
        <f>TEXT(Sales[order_date], "yyyy-mm")</f>
        <v>2025-08</v>
      </c>
    </row>
    <row r="65" spans="1:20" ht="15" customHeight="1" x14ac:dyDescent="0.25">
      <c r="A65" s="10" t="s">
        <v>443</v>
      </c>
      <c r="B65" s="11">
        <v>45890</v>
      </c>
      <c r="C65" s="10" t="s">
        <v>43</v>
      </c>
      <c r="D65" s="10" t="s">
        <v>44</v>
      </c>
      <c r="E65" s="10" t="s">
        <v>45</v>
      </c>
      <c r="F65" s="10" t="s">
        <v>57</v>
      </c>
      <c r="G65" s="10" t="s">
        <v>51</v>
      </c>
      <c r="H65" s="10">
        <v>2</v>
      </c>
      <c r="I65" s="10">
        <v>27500</v>
      </c>
      <c r="J65" s="10">
        <v>16500</v>
      </c>
      <c r="K65" s="12">
        <v>0</v>
      </c>
      <c r="L65" s="10">
        <v>2</v>
      </c>
      <c r="M65" s="28" t="s">
        <v>111</v>
      </c>
      <c r="N65" s="29">
        <f>_xlfn.IFNA(VLOOKUP(Sales[customer_id],Cust[],11,FALSE),"Unknown")</f>
        <v>500000</v>
      </c>
      <c r="O65" s="29" t="str">
        <f>_xlfn.IFNA(VLOOKUP(Sales[customer_id], Cust[], 7,FALSE),"Unknown customer")</f>
        <v>Abuja</v>
      </c>
      <c r="P65" s="29" t="str">
        <f>_xlfn.IFNA(VLOOKUP(Sales[[#This Row],[customer_id]],Cust[],4, FALSE),"Unknown customer")</f>
        <v>Sadiq Chukwu</v>
      </c>
      <c r="Q65" s="29" t="str">
        <f>_xlfn.IFNA(VLOOKUP(Sales[[#This Row],[customer_id]], Cust[], 10, FALSE), "Unknown customer")</f>
        <v>Wholesale</v>
      </c>
      <c r="R65" s="29">
        <f>SUM(Sales[quantity]*Sales[[#This Row],[unit_price_ngn]]*(1-Sales[[#This Row],[discount_pct]]))</f>
        <v>55000</v>
      </c>
      <c r="S65" s="29">
        <f>Sales[[#This Row],[revenue]]-(Sales[[#This Row],[quantity]]*Sales[[#This Row],[unit_cost_ngn]])</f>
        <v>22000</v>
      </c>
      <c r="T65" s="41" t="str">
        <f>TEXT(Sales[order_date], "yyyy-mm")</f>
        <v>2025-08</v>
      </c>
    </row>
    <row r="66" spans="1:20" ht="15" customHeight="1" x14ac:dyDescent="0.25">
      <c r="A66" s="10" t="s">
        <v>444</v>
      </c>
      <c r="B66" s="11">
        <v>45890</v>
      </c>
      <c r="C66" s="10" t="s">
        <v>43</v>
      </c>
      <c r="D66" s="10" t="s">
        <v>44</v>
      </c>
      <c r="E66" s="10" t="s">
        <v>75</v>
      </c>
      <c r="F66" s="10" t="s">
        <v>78</v>
      </c>
      <c r="G66" s="10" t="s">
        <v>36</v>
      </c>
      <c r="H66" s="10">
        <v>1</v>
      </c>
      <c r="I66" s="10">
        <v>22000</v>
      </c>
      <c r="J66" s="10">
        <v>13800</v>
      </c>
      <c r="K66" s="12">
        <v>0.05</v>
      </c>
      <c r="L66" s="10">
        <v>1</v>
      </c>
      <c r="M66" s="28" t="s">
        <v>260</v>
      </c>
      <c r="N66" s="29">
        <f>_xlfn.IFNA(VLOOKUP(Sales[customer_id],Cust[],11,FALSE),"Unknown")</f>
        <v>500000</v>
      </c>
      <c r="O66" s="29" t="str">
        <f>_xlfn.IFNA(VLOOKUP(Sales[customer_id], Cust[], 7,FALSE),"Unknown customer")</f>
        <v>Abuja</v>
      </c>
      <c r="P66" s="29" t="str">
        <f>_xlfn.IFNA(VLOOKUP(Sales[[#This Row],[customer_id]],Cust[],4, FALSE),"Unknown customer")</f>
        <v>Blessing Ibrahim</v>
      </c>
      <c r="Q66" s="29" t="str">
        <f>_xlfn.IFNA(VLOOKUP(Sales[[#This Row],[customer_id]], Cust[], 10, FALSE), "Unknown customer")</f>
        <v>Retail</v>
      </c>
      <c r="R66" s="29">
        <f>SUM(Sales[quantity]*Sales[[#This Row],[unit_price_ngn]]*(1-Sales[[#This Row],[discount_pct]]))</f>
        <v>20900</v>
      </c>
      <c r="S66" s="29">
        <f>Sales[[#This Row],[revenue]]-(Sales[[#This Row],[quantity]]*Sales[[#This Row],[unit_cost_ngn]])</f>
        <v>7100</v>
      </c>
      <c r="T66" s="41" t="str">
        <f>TEXT(Sales[order_date], "yyyy-mm")</f>
        <v>2025-08</v>
      </c>
    </row>
    <row r="67" spans="1:20" ht="15" customHeight="1" x14ac:dyDescent="0.25">
      <c r="A67" s="10" t="s">
        <v>445</v>
      </c>
      <c r="B67" s="11">
        <v>45891</v>
      </c>
      <c r="C67" s="10" t="s">
        <v>43</v>
      </c>
      <c r="D67" s="10" t="s">
        <v>44</v>
      </c>
      <c r="E67" s="10" t="s">
        <v>75</v>
      </c>
      <c r="F67" s="10" t="s">
        <v>199</v>
      </c>
      <c r="G67" s="10" t="s">
        <v>36</v>
      </c>
      <c r="H67" s="10">
        <v>1</v>
      </c>
      <c r="I67" s="10">
        <v>15500</v>
      </c>
      <c r="J67" s="10">
        <v>9900</v>
      </c>
      <c r="K67" s="12">
        <v>0</v>
      </c>
      <c r="L67" s="10">
        <v>7</v>
      </c>
      <c r="M67" s="28" t="s">
        <v>48</v>
      </c>
      <c r="N67" s="29">
        <f>_xlfn.IFNA(VLOOKUP(Sales[customer_id],Cust[],11,FALSE),"Unknown")</f>
        <v>250000</v>
      </c>
      <c r="O67" s="29" t="str">
        <f>_xlfn.IFNA(VLOOKUP(Sales[customer_id], Cust[], 7,FALSE),"Unknown customer")</f>
        <v>Abuja</v>
      </c>
      <c r="P67" s="29" t="str">
        <f>_xlfn.IFNA(VLOOKUP(Sales[[#This Row],[customer_id]],Cust[],4, FALSE),"Unknown customer")</f>
        <v>Bola Musa</v>
      </c>
      <c r="Q67" s="29" t="str">
        <f>_xlfn.IFNA(VLOOKUP(Sales[[#This Row],[customer_id]], Cust[], 10, FALSE), "Unknown customer")</f>
        <v>Corporate</v>
      </c>
      <c r="R67" s="29">
        <f>SUM(Sales[quantity]*Sales[[#This Row],[unit_price_ngn]]*(1-Sales[[#This Row],[discount_pct]]))</f>
        <v>15500</v>
      </c>
      <c r="S67" s="29">
        <f>Sales[[#This Row],[revenue]]-(Sales[[#This Row],[quantity]]*Sales[[#This Row],[unit_cost_ngn]])</f>
        <v>5600</v>
      </c>
      <c r="T67" s="41" t="str">
        <f>TEXT(Sales[order_date], "yyyy-mm")</f>
        <v>2025-08</v>
      </c>
    </row>
    <row r="68" spans="1:20" ht="15" customHeight="1" x14ac:dyDescent="0.25">
      <c r="A68" s="10" t="s">
        <v>465</v>
      </c>
      <c r="B68" s="11">
        <v>45910</v>
      </c>
      <c r="C68" s="10" t="s">
        <v>43</v>
      </c>
      <c r="D68" s="10" t="s">
        <v>44</v>
      </c>
      <c r="E68" s="10" t="s">
        <v>75</v>
      </c>
      <c r="F68" s="10" t="s">
        <v>57</v>
      </c>
      <c r="G68" s="10" t="s">
        <v>51</v>
      </c>
      <c r="H68" s="10">
        <v>2</v>
      </c>
      <c r="I68" s="10">
        <v>27500</v>
      </c>
      <c r="J68" s="10">
        <v>16500</v>
      </c>
      <c r="K68" s="12">
        <v>0.05</v>
      </c>
      <c r="L68" s="10">
        <v>1</v>
      </c>
      <c r="M68" s="28" t="s">
        <v>161</v>
      </c>
      <c r="N68" s="29">
        <f>_xlfn.IFNA(VLOOKUP(Sales[customer_id],Cust[],11,FALSE),"Unknown")</f>
        <v>50000</v>
      </c>
      <c r="O68" s="29" t="str">
        <f>_xlfn.IFNA(VLOOKUP(Sales[customer_id], Cust[], 7,FALSE),"Unknown customer")</f>
        <v>Abuja</v>
      </c>
      <c r="P68" s="29" t="str">
        <f>_xlfn.IFNA(VLOOKUP(Sales[[#This Row],[customer_id]],Cust[],4, FALSE),"Unknown customer")</f>
        <v>Tunde Sanni</v>
      </c>
      <c r="Q68" s="29" t="str">
        <f>_xlfn.IFNA(VLOOKUP(Sales[[#This Row],[customer_id]], Cust[], 10, FALSE), "Unknown customer")</f>
        <v>Corporate</v>
      </c>
      <c r="R68" s="29">
        <f>SUM(Sales[quantity]*Sales[[#This Row],[unit_price_ngn]]*(1-Sales[[#This Row],[discount_pct]]))</f>
        <v>52250</v>
      </c>
      <c r="S68" s="29">
        <f>Sales[[#This Row],[revenue]]-(Sales[[#This Row],[quantity]]*Sales[[#This Row],[unit_cost_ngn]])</f>
        <v>19250</v>
      </c>
      <c r="T68" s="41" t="str">
        <f>TEXT(Sales[order_date], "yyyy-mm")</f>
        <v>2025-09</v>
      </c>
    </row>
    <row r="69" spans="1:20" ht="15" customHeight="1" x14ac:dyDescent="0.25">
      <c r="A69" s="10" t="s">
        <v>466</v>
      </c>
      <c r="B69" s="11">
        <v>45912</v>
      </c>
      <c r="C69" s="10" t="s">
        <v>43</v>
      </c>
      <c r="D69" s="10" t="s">
        <v>44</v>
      </c>
      <c r="E69" s="10" t="s">
        <v>45</v>
      </c>
      <c r="F69" s="10" t="s">
        <v>35</v>
      </c>
      <c r="G69" s="10" t="s">
        <v>36</v>
      </c>
      <c r="H69" s="10">
        <v>1</v>
      </c>
      <c r="I69" s="10">
        <v>18500</v>
      </c>
      <c r="J69" s="10">
        <v>11800</v>
      </c>
      <c r="K69" s="12">
        <v>0</v>
      </c>
      <c r="L69" s="10">
        <v>2</v>
      </c>
      <c r="M69" s="28" t="s">
        <v>418</v>
      </c>
      <c r="N69" s="29">
        <f>_xlfn.IFNA(VLOOKUP(Sales[customer_id],Cust[],11,FALSE),"Unknown")</f>
        <v>100000</v>
      </c>
      <c r="O69" s="29" t="str">
        <f>_xlfn.IFNA(VLOOKUP(Sales[customer_id], Cust[], 7,FALSE),"Unknown customer")</f>
        <v>Abuja</v>
      </c>
      <c r="P69" s="29" t="str">
        <f>_xlfn.IFNA(VLOOKUP(Sales[[#This Row],[customer_id]],Cust[],4, FALSE),"Unknown customer")</f>
        <v>Musa Adebayo</v>
      </c>
      <c r="Q69" s="29" t="str">
        <f>_xlfn.IFNA(VLOOKUP(Sales[[#This Row],[customer_id]], Cust[], 10, FALSE), "Unknown customer")</f>
        <v>Retail</v>
      </c>
      <c r="R69" s="29">
        <f>SUM(Sales[quantity]*Sales[[#This Row],[unit_price_ngn]]*(1-Sales[[#This Row],[discount_pct]]))</f>
        <v>18500</v>
      </c>
      <c r="S69" s="29">
        <f>Sales[[#This Row],[revenue]]-(Sales[[#This Row],[quantity]]*Sales[[#This Row],[unit_cost_ngn]])</f>
        <v>6700</v>
      </c>
      <c r="T69" s="41" t="str">
        <f>TEXT(Sales[order_date], "yyyy-mm")</f>
        <v>2025-09</v>
      </c>
    </row>
    <row r="70" spans="1:20" ht="15" customHeight="1" x14ac:dyDescent="0.25">
      <c r="A70" s="10" t="s">
        <v>472</v>
      </c>
      <c r="B70" s="11">
        <v>45926</v>
      </c>
      <c r="C70" s="10" t="s">
        <v>43</v>
      </c>
      <c r="D70" s="10" t="s">
        <v>44</v>
      </c>
      <c r="E70" s="10" t="s">
        <v>75</v>
      </c>
      <c r="F70" s="10" t="s">
        <v>35</v>
      </c>
      <c r="G70" s="10" t="s">
        <v>36</v>
      </c>
      <c r="H70" s="10">
        <v>2</v>
      </c>
      <c r="I70" s="10">
        <v>18500</v>
      </c>
      <c r="J70" s="10">
        <v>11800</v>
      </c>
      <c r="K70" s="12">
        <v>0</v>
      </c>
      <c r="L70" s="10">
        <v>2</v>
      </c>
      <c r="M70" s="28" t="s">
        <v>52</v>
      </c>
      <c r="N70" s="29">
        <f>_xlfn.IFNA(VLOOKUP(Sales[customer_id],Cust[],11,FALSE),"Unknown")</f>
        <v>500000</v>
      </c>
      <c r="O70" s="29" t="str">
        <f>_xlfn.IFNA(VLOOKUP(Sales[customer_id], Cust[], 7,FALSE),"Unknown customer")</f>
        <v>Abuja</v>
      </c>
      <c r="P70" s="29" t="str">
        <f>_xlfn.IFNA(VLOOKUP(Sales[[#This Row],[customer_id]],Cust[],4, FALSE),"Unknown customer")</f>
        <v>Amaka Bello</v>
      </c>
      <c r="Q70" s="29" t="str">
        <f>_xlfn.IFNA(VLOOKUP(Sales[[#This Row],[customer_id]], Cust[], 10, FALSE), "Unknown customer")</f>
        <v>Retail</v>
      </c>
      <c r="R70" s="29">
        <f>SUM(Sales[quantity]*Sales[[#This Row],[unit_price_ngn]]*(1-Sales[[#This Row],[discount_pct]]))</f>
        <v>37000</v>
      </c>
      <c r="S70" s="29">
        <f>Sales[[#This Row],[revenue]]-(Sales[[#This Row],[quantity]]*Sales[[#This Row],[unit_cost_ngn]])</f>
        <v>13400</v>
      </c>
      <c r="T70" s="41" t="str">
        <f>TEXT(Sales[order_date], "yyyy-mm")</f>
        <v>2025-09</v>
      </c>
    </row>
    <row r="71" spans="1:20" ht="15" customHeight="1" x14ac:dyDescent="0.25">
      <c r="A71" s="10" t="s">
        <v>481</v>
      </c>
      <c r="B71" s="11">
        <v>45939</v>
      </c>
      <c r="C71" s="10" t="s">
        <v>43</v>
      </c>
      <c r="D71" s="10" t="s">
        <v>44</v>
      </c>
      <c r="E71" s="10" t="s">
        <v>75</v>
      </c>
      <c r="F71" s="10" t="s">
        <v>50</v>
      </c>
      <c r="G71" s="10" t="s">
        <v>51</v>
      </c>
      <c r="H71" s="10">
        <v>10</v>
      </c>
      <c r="I71" s="10">
        <v>41000</v>
      </c>
      <c r="J71" s="10">
        <v>25000</v>
      </c>
      <c r="K71" s="12">
        <v>0.05</v>
      </c>
      <c r="L71" s="10">
        <v>1</v>
      </c>
      <c r="M71" s="28" t="s">
        <v>260</v>
      </c>
      <c r="N71" s="29">
        <f>_xlfn.IFNA(VLOOKUP(Sales[customer_id],Cust[],11,FALSE),"Unknown")</f>
        <v>500000</v>
      </c>
      <c r="O71" s="29" t="str">
        <f>_xlfn.IFNA(VLOOKUP(Sales[customer_id], Cust[], 7,FALSE),"Unknown customer")</f>
        <v>Abuja</v>
      </c>
      <c r="P71" s="29" t="str">
        <f>_xlfn.IFNA(VLOOKUP(Sales[[#This Row],[customer_id]],Cust[],4, FALSE),"Unknown customer")</f>
        <v>Blessing Ibrahim</v>
      </c>
      <c r="Q71" s="29" t="str">
        <f>_xlfn.IFNA(VLOOKUP(Sales[[#This Row],[customer_id]], Cust[], 10, FALSE), "Unknown customer")</f>
        <v>Retail</v>
      </c>
      <c r="R71" s="29">
        <f>SUM(Sales[quantity]*Sales[[#This Row],[unit_price_ngn]]*(1-Sales[[#This Row],[discount_pct]]))</f>
        <v>389500</v>
      </c>
      <c r="S71" s="29">
        <f>Sales[[#This Row],[revenue]]-(Sales[[#This Row],[quantity]]*Sales[[#This Row],[unit_cost_ngn]])</f>
        <v>139500</v>
      </c>
      <c r="T71" s="41" t="str">
        <f>TEXT(Sales[order_date], "yyyy-mm")</f>
        <v>2025-10</v>
      </c>
    </row>
    <row r="72" spans="1:20" ht="15" customHeight="1" x14ac:dyDescent="0.25">
      <c r="A72" s="10" t="s">
        <v>485</v>
      </c>
      <c r="B72" s="11">
        <v>45942</v>
      </c>
      <c r="C72" s="10" t="s">
        <v>43</v>
      </c>
      <c r="D72" s="10" t="s">
        <v>44</v>
      </c>
      <c r="E72" s="10" t="s">
        <v>45</v>
      </c>
      <c r="F72" s="10" t="s">
        <v>46</v>
      </c>
      <c r="G72" s="10" t="s">
        <v>47</v>
      </c>
      <c r="H72" s="10">
        <v>4</v>
      </c>
      <c r="I72" s="10">
        <v>9800</v>
      </c>
      <c r="J72" s="10">
        <v>7600</v>
      </c>
      <c r="K72" s="12">
        <v>0</v>
      </c>
      <c r="L72" s="10">
        <v>4</v>
      </c>
      <c r="M72" s="28" t="s">
        <v>260</v>
      </c>
      <c r="N72" s="29">
        <f>_xlfn.IFNA(VLOOKUP(Sales[customer_id],Cust[],11,FALSE),"Unknown")</f>
        <v>500000</v>
      </c>
      <c r="O72" s="29" t="str">
        <f>_xlfn.IFNA(VLOOKUP(Sales[customer_id], Cust[], 7,FALSE),"Unknown customer")</f>
        <v>Abuja</v>
      </c>
      <c r="P72" s="29" t="str">
        <f>_xlfn.IFNA(VLOOKUP(Sales[[#This Row],[customer_id]],Cust[],4, FALSE),"Unknown customer")</f>
        <v>Blessing Ibrahim</v>
      </c>
      <c r="Q72" s="29" t="str">
        <f>_xlfn.IFNA(VLOOKUP(Sales[[#This Row],[customer_id]], Cust[], 10, FALSE), "Unknown customer")</f>
        <v>Retail</v>
      </c>
      <c r="R72" s="29">
        <f>SUM(Sales[quantity]*Sales[[#This Row],[unit_price_ngn]]*(1-Sales[[#This Row],[discount_pct]]))</f>
        <v>39200</v>
      </c>
      <c r="S72" s="29">
        <f>Sales[[#This Row],[revenue]]-(Sales[[#This Row],[quantity]]*Sales[[#This Row],[unit_cost_ngn]])</f>
        <v>8800</v>
      </c>
      <c r="T72" s="41" t="str">
        <f>TEXT(Sales[order_date], "yyyy-mm")</f>
        <v>2025-10</v>
      </c>
    </row>
    <row r="73" spans="1:20" ht="15" customHeight="1" x14ac:dyDescent="0.25">
      <c r="A73" s="10" t="s">
        <v>487</v>
      </c>
      <c r="B73" s="11">
        <v>45943</v>
      </c>
      <c r="C73" s="10" t="s">
        <v>43</v>
      </c>
      <c r="D73" s="10" t="s">
        <v>44</v>
      </c>
      <c r="E73" s="10" t="s">
        <v>45</v>
      </c>
      <c r="F73" s="10" t="s">
        <v>101</v>
      </c>
      <c r="G73" s="10" t="s">
        <v>61</v>
      </c>
      <c r="H73" s="10">
        <v>4</v>
      </c>
      <c r="I73" s="10">
        <v>28000</v>
      </c>
      <c r="J73" s="10">
        <v>18500</v>
      </c>
      <c r="K73" s="12">
        <v>0</v>
      </c>
      <c r="L73" s="10">
        <v>2</v>
      </c>
      <c r="M73" s="28" t="s">
        <v>418</v>
      </c>
      <c r="N73" s="29">
        <f>_xlfn.IFNA(VLOOKUP(Sales[customer_id],Cust[],11,FALSE),"Unknown")</f>
        <v>100000</v>
      </c>
      <c r="O73" s="29" t="str">
        <f>_xlfn.IFNA(VLOOKUP(Sales[customer_id], Cust[], 7,FALSE),"Unknown customer")</f>
        <v>Abuja</v>
      </c>
      <c r="P73" s="29" t="str">
        <f>_xlfn.IFNA(VLOOKUP(Sales[[#This Row],[customer_id]],Cust[],4, FALSE),"Unknown customer")</f>
        <v>Musa Adebayo</v>
      </c>
      <c r="Q73" s="29" t="str">
        <f>_xlfn.IFNA(VLOOKUP(Sales[[#This Row],[customer_id]], Cust[], 10, FALSE), "Unknown customer")</f>
        <v>Retail</v>
      </c>
      <c r="R73" s="29">
        <f>SUM(Sales[quantity]*Sales[[#This Row],[unit_price_ngn]]*(1-Sales[[#This Row],[discount_pct]]))</f>
        <v>112000</v>
      </c>
      <c r="S73" s="29">
        <f>Sales[[#This Row],[revenue]]-(Sales[[#This Row],[quantity]]*Sales[[#This Row],[unit_cost_ngn]])</f>
        <v>38000</v>
      </c>
      <c r="T73" s="41" t="str">
        <f>TEXT(Sales[order_date], "yyyy-mm")</f>
        <v>2025-10</v>
      </c>
    </row>
    <row r="74" spans="1:20" ht="15" customHeight="1" x14ac:dyDescent="0.25">
      <c r="A74" s="10" t="s">
        <v>489</v>
      </c>
      <c r="B74" s="11">
        <v>45944</v>
      </c>
      <c r="C74" s="10" t="s">
        <v>43</v>
      </c>
      <c r="D74" s="10" t="s">
        <v>44</v>
      </c>
      <c r="E74" s="10" t="s">
        <v>75</v>
      </c>
      <c r="F74" s="10" t="s">
        <v>50</v>
      </c>
      <c r="G74" s="10" t="s">
        <v>51</v>
      </c>
      <c r="H74" s="10">
        <v>2</v>
      </c>
      <c r="I74" s="10">
        <v>41000</v>
      </c>
      <c r="J74" s="10">
        <v>25000</v>
      </c>
      <c r="K74" s="12">
        <v>0</v>
      </c>
      <c r="L74" s="10">
        <v>2</v>
      </c>
      <c r="M74" s="28" t="s">
        <v>385</v>
      </c>
      <c r="N74" s="29">
        <f>_xlfn.IFNA(VLOOKUP(Sales[customer_id],Cust[],11,FALSE),"Unknown")</f>
        <v>250000</v>
      </c>
      <c r="O74" s="29" t="str">
        <f>_xlfn.IFNA(VLOOKUP(Sales[customer_id], Cust[], 7,FALSE),"Unknown customer")</f>
        <v>Abuja</v>
      </c>
      <c r="P74" s="29" t="str">
        <f>_xlfn.IFNA(VLOOKUP(Sales[[#This Row],[customer_id]],Cust[],4, FALSE),"Unknown customer")</f>
        <v>Chidi Iheanacho</v>
      </c>
      <c r="Q74" s="29" t="str">
        <f>_xlfn.IFNA(VLOOKUP(Sales[[#This Row],[customer_id]], Cust[], 10, FALSE), "Unknown customer")</f>
        <v>Retail</v>
      </c>
      <c r="R74" s="29">
        <f>SUM(Sales[quantity]*Sales[[#This Row],[unit_price_ngn]]*(1-Sales[[#This Row],[discount_pct]]))</f>
        <v>82000</v>
      </c>
      <c r="S74" s="29">
        <f>Sales[[#This Row],[revenue]]-(Sales[[#This Row],[quantity]]*Sales[[#This Row],[unit_cost_ngn]])</f>
        <v>32000</v>
      </c>
      <c r="T74" s="41" t="str">
        <f>TEXT(Sales[order_date], "yyyy-mm")</f>
        <v>2025-10</v>
      </c>
    </row>
    <row r="75" spans="1:20" ht="15" customHeight="1" x14ac:dyDescent="0.25">
      <c r="A75" s="10" t="s">
        <v>494</v>
      </c>
      <c r="B75" s="11">
        <v>45946</v>
      </c>
      <c r="C75" s="10" t="s">
        <v>43</v>
      </c>
      <c r="D75" s="10" t="s">
        <v>44</v>
      </c>
      <c r="E75" s="10" t="s">
        <v>45</v>
      </c>
      <c r="F75" s="10" t="s">
        <v>50</v>
      </c>
      <c r="G75" s="10" t="s">
        <v>51</v>
      </c>
      <c r="H75" s="10">
        <v>1</v>
      </c>
      <c r="I75" s="10">
        <v>41000</v>
      </c>
      <c r="J75" s="10">
        <v>25000</v>
      </c>
      <c r="K75" s="12">
        <v>0</v>
      </c>
      <c r="L75" s="10">
        <v>4</v>
      </c>
      <c r="M75" s="28" t="s">
        <v>76</v>
      </c>
      <c r="N75" s="29">
        <f>_xlfn.IFNA(VLOOKUP(Sales[customer_id],Cust[],11,FALSE),"Unknown")</f>
        <v>500000</v>
      </c>
      <c r="O75" s="29" t="str">
        <f>_xlfn.IFNA(VLOOKUP(Sales[customer_id], Cust[], 7,FALSE),"Unknown customer")</f>
        <v>Abuja</v>
      </c>
      <c r="P75" s="29" t="str">
        <f>_xlfn.IFNA(VLOOKUP(Sales[[#This Row],[customer_id]],Cust[],4, FALSE),"Unknown customer")</f>
        <v>Temitope Nnamdi</v>
      </c>
      <c r="Q75" s="29" t="str">
        <f>_xlfn.IFNA(VLOOKUP(Sales[[#This Row],[customer_id]], Cust[], 10, FALSE), "Unknown customer")</f>
        <v>Corporate</v>
      </c>
      <c r="R75" s="29">
        <f>SUM(Sales[quantity]*Sales[[#This Row],[unit_price_ngn]]*(1-Sales[[#This Row],[discount_pct]]))</f>
        <v>41000</v>
      </c>
      <c r="S75" s="29">
        <f>Sales[[#This Row],[revenue]]-(Sales[[#This Row],[quantity]]*Sales[[#This Row],[unit_cost_ngn]])</f>
        <v>16000</v>
      </c>
      <c r="T75" s="41" t="str">
        <f>TEXT(Sales[order_date], "yyyy-mm")</f>
        <v>2025-10</v>
      </c>
    </row>
    <row r="76" spans="1:20" ht="15" customHeight="1" x14ac:dyDescent="0.25">
      <c r="A76" s="10" t="s">
        <v>504</v>
      </c>
      <c r="B76" s="11">
        <v>45954</v>
      </c>
      <c r="C76" s="10" t="s">
        <v>43</v>
      </c>
      <c r="D76" s="10" t="s">
        <v>44</v>
      </c>
      <c r="E76" s="10" t="s">
        <v>45</v>
      </c>
      <c r="F76" s="10" t="s">
        <v>88</v>
      </c>
      <c r="G76" s="10" t="s">
        <v>89</v>
      </c>
      <c r="H76" s="10">
        <v>10</v>
      </c>
      <c r="I76" s="10">
        <v>6800</v>
      </c>
      <c r="J76" s="10">
        <v>3900</v>
      </c>
      <c r="K76" s="12">
        <v>0</v>
      </c>
      <c r="L76" s="10">
        <v>1</v>
      </c>
      <c r="M76" s="28" t="s">
        <v>385</v>
      </c>
      <c r="N76" s="29">
        <f>_xlfn.IFNA(VLOOKUP(Sales[customer_id],Cust[],11,FALSE),"Unknown")</f>
        <v>250000</v>
      </c>
      <c r="O76" s="29" t="str">
        <f>_xlfn.IFNA(VLOOKUP(Sales[customer_id], Cust[], 7,FALSE),"Unknown customer")</f>
        <v>Abuja</v>
      </c>
      <c r="P76" s="29" t="str">
        <f>_xlfn.IFNA(VLOOKUP(Sales[[#This Row],[customer_id]],Cust[],4, FALSE),"Unknown customer")</f>
        <v>Chidi Iheanacho</v>
      </c>
      <c r="Q76" s="29" t="str">
        <f>_xlfn.IFNA(VLOOKUP(Sales[[#This Row],[customer_id]], Cust[], 10, FALSE), "Unknown customer")</f>
        <v>Retail</v>
      </c>
      <c r="R76" s="29">
        <f>SUM(Sales[quantity]*Sales[[#This Row],[unit_price_ngn]]*(1-Sales[[#This Row],[discount_pct]]))</f>
        <v>68000</v>
      </c>
      <c r="S76" s="29">
        <f>Sales[[#This Row],[revenue]]-(Sales[[#This Row],[quantity]]*Sales[[#This Row],[unit_cost_ngn]])</f>
        <v>29000</v>
      </c>
      <c r="T76" s="41" t="str">
        <f>TEXT(Sales[order_date], "yyyy-mm")</f>
        <v>2025-10</v>
      </c>
    </row>
    <row r="77" spans="1:20" ht="15" customHeight="1" x14ac:dyDescent="0.25">
      <c r="A77" s="10" t="s">
        <v>511</v>
      </c>
      <c r="B77" s="11">
        <v>45959</v>
      </c>
      <c r="C77" s="10" t="s">
        <v>43</v>
      </c>
      <c r="D77" s="10" t="s">
        <v>44</v>
      </c>
      <c r="E77" s="10" t="s">
        <v>34</v>
      </c>
      <c r="F77" s="10" t="s">
        <v>60</v>
      </c>
      <c r="G77" s="10" t="s">
        <v>61</v>
      </c>
      <c r="H77" s="10">
        <v>2</v>
      </c>
      <c r="I77" s="10">
        <v>12000</v>
      </c>
      <c r="J77" s="10">
        <v>7200</v>
      </c>
      <c r="K77" s="12">
        <v>0</v>
      </c>
      <c r="L77" s="10">
        <v>2</v>
      </c>
      <c r="M77" s="28" t="s">
        <v>385</v>
      </c>
      <c r="N77" s="29">
        <f>_xlfn.IFNA(VLOOKUP(Sales[customer_id],Cust[],11,FALSE),"Unknown")</f>
        <v>250000</v>
      </c>
      <c r="O77" s="29" t="str">
        <f>_xlfn.IFNA(VLOOKUP(Sales[customer_id], Cust[], 7,FALSE),"Unknown customer")</f>
        <v>Abuja</v>
      </c>
      <c r="P77" s="29" t="str">
        <f>_xlfn.IFNA(VLOOKUP(Sales[[#This Row],[customer_id]],Cust[],4, FALSE),"Unknown customer")</f>
        <v>Chidi Iheanacho</v>
      </c>
      <c r="Q77" s="29" t="str">
        <f>_xlfn.IFNA(VLOOKUP(Sales[[#This Row],[customer_id]], Cust[], 10, FALSE), "Unknown customer")</f>
        <v>Retail</v>
      </c>
      <c r="R77" s="29">
        <f>SUM(Sales[quantity]*Sales[[#This Row],[unit_price_ngn]]*(1-Sales[[#This Row],[discount_pct]]))</f>
        <v>24000</v>
      </c>
      <c r="S77" s="29">
        <f>Sales[[#This Row],[revenue]]-(Sales[[#This Row],[quantity]]*Sales[[#This Row],[unit_cost_ngn]])</f>
        <v>9600</v>
      </c>
      <c r="T77" s="41" t="str">
        <f>TEXT(Sales[order_date], "yyyy-mm")</f>
        <v>2025-10</v>
      </c>
    </row>
    <row r="78" spans="1:20" ht="15" customHeight="1" x14ac:dyDescent="0.25">
      <c r="A78" s="10" t="s">
        <v>512</v>
      </c>
      <c r="B78" s="11">
        <v>45960</v>
      </c>
      <c r="C78" s="10" t="s">
        <v>43</v>
      </c>
      <c r="D78" s="10" t="s">
        <v>44</v>
      </c>
      <c r="E78" s="10" t="s">
        <v>45</v>
      </c>
      <c r="F78" s="10" t="s">
        <v>78</v>
      </c>
      <c r="G78" s="10" t="s">
        <v>36</v>
      </c>
      <c r="H78" s="10">
        <v>1</v>
      </c>
      <c r="I78" s="10">
        <v>22000</v>
      </c>
      <c r="J78" s="10">
        <v>13800</v>
      </c>
      <c r="K78" s="12">
        <v>0</v>
      </c>
      <c r="L78" s="10">
        <v>1</v>
      </c>
      <c r="M78" s="28" t="s">
        <v>149</v>
      </c>
      <c r="N78" s="29">
        <f>_xlfn.IFNA(VLOOKUP(Sales[customer_id],Cust[],11,FALSE),"Unknown")</f>
        <v>100000</v>
      </c>
      <c r="O78" s="29" t="str">
        <f>_xlfn.IFNA(VLOOKUP(Sales[customer_id], Cust[], 7,FALSE),"Unknown customer")</f>
        <v>Abuja</v>
      </c>
      <c r="P78" s="29" t="str">
        <f>_xlfn.IFNA(VLOOKUP(Sales[[#This Row],[customer_id]],Cust[],4, FALSE),"Unknown customer")</f>
        <v>Hauwa Sanni</v>
      </c>
      <c r="Q78" s="29" t="str">
        <f>_xlfn.IFNA(VLOOKUP(Sales[[#This Row],[customer_id]], Cust[], 10, FALSE), "Unknown customer")</f>
        <v>Retail</v>
      </c>
      <c r="R78" s="29">
        <f>SUM(Sales[quantity]*Sales[[#This Row],[unit_price_ngn]]*(1-Sales[[#This Row],[discount_pct]]))</f>
        <v>22000</v>
      </c>
      <c r="S78" s="29">
        <f>Sales[[#This Row],[revenue]]-(Sales[[#This Row],[quantity]]*Sales[[#This Row],[unit_cost_ngn]])</f>
        <v>8200</v>
      </c>
      <c r="T78" s="41" t="str">
        <f>TEXT(Sales[order_date], "yyyy-mm")</f>
        <v>2025-10</v>
      </c>
    </row>
    <row r="79" spans="1:20" ht="15" customHeight="1" x14ac:dyDescent="0.25">
      <c r="A79" s="10" t="s">
        <v>514</v>
      </c>
      <c r="B79" s="11">
        <v>45962</v>
      </c>
      <c r="C79" s="10" t="s">
        <v>43</v>
      </c>
      <c r="D79" s="10" t="s">
        <v>44</v>
      </c>
      <c r="E79" s="10" t="s">
        <v>56</v>
      </c>
      <c r="F79" s="10" t="s">
        <v>57</v>
      </c>
      <c r="G79" s="10" t="s">
        <v>51</v>
      </c>
      <c r="H79" s="10">
        <v>4</v>
      </c>
      <c r="I79" s="10">
        <v>27500</v>
      </c>
      <c r="J79" s="10">
        <v>16500</v>
      </c>
      <c r="K79" s="12">
        <v>0</v>
      </c>
      <c r="L79" s="10">
        <v>7</v>
      </c>
      <c r="M79" s="28" t="s">
        <v>260</v>
      </c>
      <c r="N79" s="29">
        <f>_xlfn.IFNA(VLOOKUP(Sales[customer_id],Cust[],11,FALSE),"Unknown")</f>
        <v>500000</v>
      </c>
      <c r="O79" s="29" t="str">
        <f>_xlfn.IFNA(VLOOKUP(Sales[customer_id], Cust[], 7,FALSE),"Unknown customer")</f>
        <v>Abuja</v>
      </c>
      <c r="P79" s="29" t="str">
        <f>_xlfn.IFNA(VLOOKUP(Sales[[#This Row],[customer_id]],Cust[],4, FALSE),"Unknown customer")</f>
        <v>Blessing Ibrahim</v>
      </c>
      <c r="Q79" s="29" t="str">
        <f>_xlfn.IFNA(VLOOKUP(Sales[[#This Row],[customer_id]], Cust[], 10, FALSE), "Unknown customer")</f>
        <v>Retail</v>
      </c>
      <c r="R79" s="29">
        <f>SUM(Sales[quantity]*Sales[[#This Row],[unit_price_ngn]]*(1-Sales[[#This Row],[discount_pct]]))</f>
        <v>110000</v>
      </c>
      <c r="S79" s="29">
        <f>Sales[[#This Row],[revenue]]-(Sales[[#This Row],[quantity]]*Sales[[#This Row],[unit_cost_ngn]])</f>
        <v>44000</v>
      </c>
      <c r="T79" s="41" t="str">
        <f>TEXT(Sales[order_date], "yyyy-mm")</f>
        <v>2025-11</v>
      </c>
    </row>
    <row r="80" spans="1:20" ht="15" customHeight="1" x14ac:dyDescent="0.25">
      <c r="A80" s="10" t="s">
        <v>517</v>
      </c>
      <c r="B80" s="11">
        <v>45964</v>
      </c>
      <c r="C80" s="10" t="s">
        <v>43</v>
      </c>
      <c r="D80" s="10" t="s">
        <v>44</v>
      </c>
      <c r="E80" s="10" t="s">
        <v>45</v>
      </c>
      <c r="F80" s="10" t="s">
        <v>35</v>
      </c>
      <c r="G80" s="10" t="s">
        <v>36</v>
      </c>
      <c r="H80" s="10">
        <v>11</v>
      </c>
      <c r="I80" s="10">
        <v>18500</v>
      </c>
      <c r="J80" s="10">
        <v>11800</v>
      </c>
      <c r="K80" s="12">
        <v>0</v>
      </c>
      <c r="L80" s="10">
        <v>5</v>
      </c>
      <c r="M80" s="28" t="s">
        <v>260</v>
      </c>
      <c r="N80" s="29">
        <f>_xlfn.IFNA(VLOOKUP(Sales[customer_id],Cust[],11,FALSE),"Unknown")</f>
        <v>500000</v>
      </c>
      <c r="O80" s="29" t="str">
        <f>_xlfn.IFNA(VLOOKUP(Sales[customer_id], Cust[], 7,FALSE),"Unknown customer")</f>
        <v>Abuja</v>
      </c>
      <c r="P80" s="29" t="str">
        <f>_xlfn.IFNA(VLOOKUP(Sales[[#This Row],[customer_id]],Cust[],4, FALSE),"Unknown customer")</f>
        <v>Blessing Ibrahim</v>
      </c>
      <c r="Q80" s="29" t="str">
        <f>_xlfn.IFNA(VLOOKUP(Sales[[#This Row],[customer_id]], Cust[], 10, FALSE), "Unknown customer")</f>
        <v>Retail</v>
      </c>
      <c r="R80" s="29">
        <f>SUM(Sales[quantity]*Sales[[#This Row],[unit_price_ngn]]*(1-Sales[[#This Row],[discount_pct]]))</f>
        <v>203500</v>
      </c>
      <c r="S80" s="29">
        <f>Sales[[#This Row],[revenue]]-(Sales[[#This Row],[quantity]]*Sales[[#This Row],[unit_cost_ngn]])</f>
        <v>73700</v>
      </c>
      <c r="T80" s="41" t="str">
        <f>TEXT(Sales[order_date], "yyyy-mm")</f>
        <v>2025-11</v>
      </c>
    </row>
    <row r="81" spans="1:20" ht="15" customHeight="1" x14ac:dyDescent="0.25">
      <c r="A81" s="10" t="s">
        <v>531</v>
      </c>
      <c r="B81" s="11">
        <v>45978</v>
      </c>
      <c r="C81" s="10" t="s">
        <v>43</v>
      </c>
      <c r="D81" s="10" t="s">
        <v>44</v>
      </c>
      <c r="E81" s="10" t="s">
        <v>75</v>
      </c>
      <c r="F81" s="10" t="s">
        <v>65</v>
      </c>
      <c r="G81" s="10" t="s">
        <v>66</v>
      </c>
      <c r="H81" s="10">
        <v>1</v>
      </c>
      <c r="I81" s="10">
        <v>24000</v>
      </c>
      <c r="J81" s="10">
        <v>14500</v>
      </c>
      <c r="K81" s="12">
        <v>0</v>
      </c>
      <c r="L81" s="10">
        <v>3</v>
      </c>
      <c r="M81" s="28" t="s">
        <v>280</v>
      </c>
      <c r="N81" s="29">
        <f>_xlfn.IFNA(VLOOKUP(Sales[customer_id],Cust[],11,FALSE),"Unknown")</f>
        <v>150000</v>
      </c>
      <c r="O81" s="29" t="str">
        <f>_xlfn.IFNA(VLOOKUP(Sales[customer_id], Cust[], 7,FALSE),"Unknown customer")</f>
        <v>Abuja</v>
      </c>
      <c r="P81" s="29" t="str">
        <f>_xlfn.IFNA(VLOOKUP(Sales[[#This Row],[customer_id]],Cust[],4, FALSE),"Unknown customer")</f>
        <v>Chinelo Lawal</v>
      </c>
      <c r="Q81" s="29" t="str">
        <f>_xlfn.IFNA(VLOOKUP(Sales[[#This Row],[customer_id]], Cust[], 10, FALSE), "Unknown customer")</f>
        <v>Retail</v>
      </c>
      <c r="R81" s="29">
        <f>SUM(Sales[quantity]*Sales[[#This Row],[unit_price_ngn]]*(1-Sales[[#This Row],[discount_pct]]))</f>
        <v>24000</v>
      </c>
      <c r="S81" s="29">
        <f>Sales[[#This Row],[revenue]]-(Sales[[#This Row],[quantity]]*Sales[[#This Row],[unit_cost_ngn]])</f>
        <v>9500</v>
      </c>
      <c r="T81" s="41" t="str">
        <f>TEXT(Sales[order_date], "yyyy-mm")</f>
        <v>2025-11</v>
      </c>
    </row>
    <row r="82" spans="1:20" ht="15" customHeight="1" x14ac:dyDescent="0.25">
      <c r="A82" s="10" t="s">
        <v>543</v>
      </c>
      <c r="B82" s="11">
        <v>45984</v>
      </c>
      <c r="C82" s="10" t="s">
        <v>43</v>
      </c>
      <c r="D82" s="10" t="s">
        <v>44</v>
      </c>
      <c r="E82" s="10" t="s">
        <v>75</v>
      </c>
      <c r="F82" s="10" t="s">
        <v>101</v>
      </c>
      <c r="G82" s="10" t="s">
        <v>61</v>
      </c>
      <c r="H82" s="10">
        <v>2</v>
      </c>
      <c r="I82" s="10">
        <v>28000</v>
      </c>
      <c r="J82" s="10">
        <v>18500</v>
      </c>
      <c r="K82" s="12">
        <v>0</v>
      </c>
      <c r="L82" s="10">
        <v>3</v>
      </c>
      <c r="M82" s="28" t="s">
        <v>265</v>
      </c>
      <c r="N82" s="29">
        <f>_xlfn.IFNA(VLOOKUP(Sales[customer_id],Cust[],11,FALSE),"Unknown")</f>
        <v>150000</v>
      </c>
      <c r="O82" s="29" t="str">
        <f>_xlfn.IFNA(VLOOKUP(Sales[customer_id], Cust[], 7,FALSE),"Unknown customer")</f>
        <v>Abuja</v>
      </c>
      <c r="P82" s="29" t="str">
        <f>_xlfn.IFNA(VLOOKUP(Sales[[#This Row],[customer_id]],Cust[],4, FALSE),"Unknown customer")</f>
        <v>Funmi Okafor</v>
      </c>
      <c r="Q82" s="29" t="str">
        <f>_xlfn.IFNA(VLOOKUP(Sales[[#This Row],[customer_id]], Cust[], 10, FALSE), "Unknown customer")</f>
        <v>Corporate</v>
      </c>
      <c r="R82" s="29">
        <f>SUM(Sales[quantity]*Sales[[#This Row],[unit_price_ngn]]*(1-Sales[[#This Row],[discount_pct]]))</f>
        <v>56000</v>
      </c>
      <c r="S82" s="29">
        <f>Sales[[#This Row],[revenue]]-(Sales[[#This Row],[quantity]]*Sales[[#This Row],[unit_cost_ngn]])</f>
        <v>19000</v>
      </c>
      <c r="T82" s="41" t="str">
        <f>TEXT(Sales[order_date], "yyyy-mm")</f>
        <v>2025-11</v>
      </c>
    </row>
    <row r="83" spans="1:20" ht="15" customHeight="1" x14ac:dyDescent="0.25">
      <c r="A83" s="10" t="s">
        <v>544</v>
      </c>
      <c r="B83" s="11">
        <v>45984</v>
      </c>
      <c r="C83" s="10" t="s">
        <v>43</v>
      </c>
      <c r="D83" s="10" t="s">
        <v>44</v>
      </c>
      <c r="E83" s="10" t="s">
        <v>45</v>
      </c>
      <c r="F83" s="10" t="s">
        <v>72</v>
      </c>
      <c r="G83" s="10" t="s">
        <v>47</v>
      </c>
      <c r="H83" s="10">
        <v>3</v>
      </c>
      <c r="I83" s="10">
        <v>46000</v>
      </c>
      <c r="J83" s="10">
        <v>39000</v>
      </c>
      <c r="K83" s="12">
        <v>0</v>
      </c>
      <c r="L83" s="10">
        <v>4</v>
      </c>
      <c r="M83" s="28" t="s">
        <v>111</v>
      </c>
      <c r="N83" s="29">
        <f>_xlfn.IFNA(VLOOKUP(Sales[customer_id],Cust[],11,FALSE),"Unknown")</f>
        <v>500000</v>
      </c>
      <c r="O83" s="29" t="str">
        <f>_xlfn.IFNA(VLOOKUP(Sales[customer_id], Cust[], 7,FALSE),"Unknown customer")</f>
        <v>Abuja</v>
      </c>
      <c r="P83" s="29" t="str">
        <f>_xlfn.IFNA(VLOOKUP(Sales[[#This Row],[customer_id]],Cust[],4, FALSE),"Unknown customer")</f>
        <v>Sadiq Chukwu</v>
      </c>
      <c r="Q83" s="29" t="str">
        <f>_xlfn.IFNA(VLOOKUP(Sales[[#This Row],[customer_id]], Cust[], 10, FALSE), "Unknown customer")</f>
        <v>Wholesale</v>
      </c>
      <c r="R83" s="29">
        <f>SUM(Sales[quantity]*Sales[[#This Row],[unit_price_ngn]]*(1-Sales[[#This Row],[discount_pct]]))</f>
        <v>138000</v>
      </c>
      <c r="S83" s="29">
        <f>Sales[[#This Row],[revenue]]-(Sales[[#This Row],[quantity]]*Sales[[#This Row],[unit_cost_ngn]])</f>
        <v>21000</v>
      </c>
      <c r="T83" s="41" t="str">
        <f>TEXT(Sales[order_date], "yyyy-mm")</f>
        <v>2025-11</v>
      </c>
    </row>
    <row r="84" spans="1:20" ht="15" customHeight="1" x14ac:dyDescent="0.25">
      <c r="A84" s="10" t="s">
        <v>555</v>
      </c>
      <c r="B84" s="11">
        <v>45993</v>
      </c>
      <c r="C84" s="10" t="s">
        <v>43</v>
      </c>
      <c r="D84" s="10" t="s">
        <v>44</v>
      </c>
      <c r="E84" s="10" t="s">
        <v>75</v>
      </c>
      <c r="F84" s="10" t="s">
        <v>46</v>
      </c>
      <c r="G84" s="10" t="s">
        <v>47</v>
      </c>
      <c r="H84" s="10">
        <v>2</v>
      </c>
      <c r="I84" s="10">
        <v>9800</v>
      </c>
      <c r="J84" s="10">
        <v>7600</v>
      </c>
      <c r="K84" s="12">
        <v>0</v>
      </c>
      <c r="L84" s="10">
        <v>3</v>
      </c>
      <c r="M84" s="28" t="s">
        <v>161</v>
      </c>
      <c r="N84" s="29">
        <f>_xlfn.IFNA(VLOOKUP(Sales[customer_id],Cust[],11,FALSE),"Unknown")</f>
        <v>50000</v>
      </c>
      <c r="O84" s="29" t="str">
        <f>_xlfn.IFNA(VLOOKUP(Sales[customer_id], Cust[], 7,FALSE),"Unknown customer")</f>
        <v>Abuja</v>
      </c>
      <c r="P84" s="29" t="str">
        <f>_xlfn.IFNA(VLOOKUP(Sales[[#This Row],[customer_id]],Cust[],4, FALSE),"Unknown customer")</f>
        <v>Tunde Sanni</v>
      </c>
      <c r="Q84" s="29" t="str">
        <f>_xlfn.IFNA(VLOOKUP(Sales[[#This Row],[customer_id]], Cust[], 10, FALSE), "Unknown customer")</f>
        <v>Corporate</v>
      </c>
      <c r="R84" s="29">
        <f>SUM(Sales[quantity]*Sales[[#This Row],[unit_price_ngn]]*(1-Sales[[#This Row],[discount_pct]]))</f>
        <v>19600</v>
      </c>
      <c r="S84" s="29">
        <f>Sales[[#This Row],[revenue]]-(Sales[[#This Row],[quantity]]*Sales[[#This Row],[unit_cost_ngn]])</f>
        <v>4400</v>
      </c>
      <c r="T84" s="41" t="str">
        <f>TEXT(Sales[order_date], "yyyy-mm")</f>
        <v>2025-12</v>
      </c>
    </row>
    <row r="85" spans="1:20" ht="15" customHeight="1" x14ac:dyDescent="0.25">
      <c r="A85" s="10" t="s">
        <v>579</v>
      </c>
      <c r="B85" s="11">
        <v>46010</v>
      </c>
      <c r="C85" s="10" t="s">
        <v>43</v>
      </c>
      <c r="D85" s="10" t="s">
        <v>44</v>
      </c>
      <c r="E85" s="10" t="s">
        <v>34</v>
      </c>
      <c r="F85" s="10" t="s">
        <v>57</v>
      </c>
      <c r="G85" s="10" t="s">
        <v>51</v>
      </c>
      <c r="H85" s="10">
        <v>1</v>
      </c>
      <c r="I85" s="10">
        <v>27500</v>
      </c>
      <c r="J85" s="10">
        <v>16500</v>
      </c>
      <c r="K85" s="12">
        <v>0</v>
      </c>
      <c r="L85" s="10">
        <v>5</v>
      </c>
      <c r="M85" s="28" t="s">
        <v>70</v>
      </c>
      <c r="N85" s="29">
        <f>_xlfn.IFNA(VLOOKUP(Sales[customer_id],Cust[],11,FALSE),"Unknown")</f>
        <v>250000</v>
      </c>
      <c r="O85" s="29" t="str">
        <f>_xlfn.IFNA(VLOOKUP(Sales[customer_id], Cust[], 7,FALSE),"Unknown customer")</f>
        <v>Abuja</v>
      </c>
      <c r="P85" s="29" t="str">
        <f>_xlfn.IFNA(VLOOKUP(Sales[[#This Row],[customer_id]],Cust[],4, FALSE),"Unknown customer")</f>
        <v>Funmi Musa</v>
      </c>
      <c r="Q85" s="29" t="str">
        <f>_xlfn.IFNA(VLOOKUP(Sales[[#This Row],[customer_id]], Cust[], 10, FALSE), "Unknown customer")</f>
        <v>Wholesale</v>
      </c>
      <c r="R85" s="29">
        <f>SUM(Sales[quantity]*Sales[[#This Row],[unit_price_ngn]]*(1-Sales[[#This Row],[discount_pct]]))</f>
        <v>27500</v>
      </c>
      <c r="S85" s="29">
        <f>Sales[[#This Row],[revenue]]-(Sales[[#This Row],[quantity]]*Sales[[#This Row],[unit_cost_ngn]])</f>
        <v>11000</v>
      </c>
      <c r="T85" s="41" t="str">
        <f>TEXT(Sales[order_date], "yyyy-mm")</f>
        <v>2025-12</v>
      </c>
    </row>
    <row r="86" spans="1:20" ht="15" customHeight="1" x14ac:dyDescent="0.25">
      <c r="A86" s="10" t="s">
        <v>38</v>
      </c>
      <c r="B86" s="11">
        <v>45660</v>
      </c>
      <c r="C86" s="10" t="s">
        <v>39</v>
      </c>
      <c r="D86" s="10" t="s">
        <v>40</v>
      </c>
      <c r="E86" s="10" t="s">
        <v>34</v>
      </c>
      <c r="F86" s="10" t="s">
        <v>35</v>
      </c>
      <c r="G86" s="10" t="s">
        <v>36</v>
      </c>
      <c r="H86" s="10">
        <v>4</v>
      </c>
      <c r="I86" s="10">
        <v>18500</v>
      </c>
      <c r="J86" s="10">
        <v>11800</v>
      </c>
      <c r="K86" s="12">
        <v>0</v>
      </c>
      <c r="L86" s="10">
        <v>4</v>
      </c>
      <c r="M86" s="28" t="s">
        <v>41</v>
      </c>
      <c r="N86" s="29">
        <f>_xlfn.IFNA(VLOOKUP(Sales[customer_id],Cust[],11,FALSE),"Unknown")</f>
        <v>50000</v>
      </c>
      <c r="O86" s="29" t="str">
        <f>_xlfn.IFNA(VLOOKUP(Sales[customer_id], Cust[], 7,FALSE),"Unknown customer")</f>
        <v>Ibadan</v>
      </c>
      <c r="P86" s="29" t="str">
        <f>_xlfn.IFNA(VLOOKUP(Sales[[#This Row],[customer_id]],Cust[],4, FALSE),"Unknown customer")</f>
        <v>Hauwa Eze</v>
      </c>
      <c r="Q86" s="29" t="str">
        <f>_xlfn.IFNA(VLOOKUP(Sales[[#This Row],[customer_id]], Cust[], 10, FALSE), "Unknown customer")</f>
        <v>Wholesale</v>
      </c>
      <c r="R86" s="29">
        <f>SUM(Sales[quantity]*Sales[[#This Row],[unit_price_ngn]]*(1-Sales[[#This Row],[discount_pct]]))</f>
        <v>74000</v>
      </c>
      <c r="S86" s="29">
        <f>Sales[[#This Row],[revenue]]-(Sales[[#This Row],[quantity]]*Sales[[#This Row],[unit_cost_ngn]])</f>
        <v>26800</v>
      </c>
      <c r="T86" s="41" t="str">
        <f>TEXT(Sales[order_date], "yyyy-mm")</f>
        <v>2025-01</v>
      </c>
    </row>
    <row r="87" spans="1:20" ht="15" customHeight="1" x14ac:dyDescent="0.25">
      <c r="A87" s="10" t="s">
        <v>100</v>
      </c>
      <c r="B87" s="11">
        <v>45673</v>
      </c>
      <c r="C87" s="10" t="s">
        <v>39</v>
      </c>
      <c r="D87" s="10" t="s">
        <v>40</v>
      </c>
      <c r="E87" s="10" t="s">
        <v>75</v>
      </c>
      <c r="F87" s="10" t="s">
        <v>101</v>
      </c>
      <c r="G87" s="10" t="s">
        <v>61</v>
      </c>
      <c r="H87" s="10">
        <v>2</v>
      </c>
      <c r="I87" s="10">
        <v>28000</v>
      </c>
      <c r="J87" s="10">
        <v>18500</v>
      </c>
      <c r="K87" s="12">
        <v>0.05</v>
      </c>
      <c r="L87" s="10">
        <v>7</v>
      </c>
      <c r="M87" s="28" t="s">
        <v>102</v>
      </c>
      <c r="N87" s="29">
        <f>_xlfn.IFNA(VLOOKUP(Sales[customer_id],Cust[],11,FALSE),"Unknown")</f>
        <v>50000</v>
      </c>
      <c r="O87" s="29" t="str">
        <f>_xlfn.IFNA(VLOOKUP(Sales[customer_id], Cust[], 7,FALSE),"Unknown customer")</f>
        <v>Ibadan</v>
      </c>
      <c r="P87" s="29" t="str">
        <f>_xlfn.IFNA(VLOOKUP(Sales[[#This Row],[customer_id]],Cust[],4, FALSE),"Unknown customer")</f>
        <v>Jide Umeh</v>
      </c>
      <c r="Q87" s="29" t="str">
        <f>_xlfn.IFNA(VLOOKUP(Sales[[#This Row],[customer_id]], Cust[], 10, FALSE), "Unknown customer")</f>
        <v>Wholesale</v>
      </c>
      <c r="R87" s="29">
        <f>SUM(Sales[quantity]*Sales[[#This Row],[unit_price_ngn]]*(1-Sales[[#This Row],[discount_pct]]))</f>
        <v>53200</v>
      </c>
      <c r="S87" s="29">
        <f>Sales[[#This Row],[revenue]]-(Sales[[#This Row],[quantity]]*Sales[[#This Row],[unit_cost_ngn]])</f>
        <v>16200</v>
      </c>
      <c r="T87" s="41" t="str">
        <f>TEXT(Sales[order_date], "yyyy-mm")</f>
        <v>2025-01</v>
      </c>
    </row>
    <row r="88" spans="1:20" ht="15" customHeight="1" x14ac:dyDescent="0.25">
      <c r="A88" s="10" t="s">
        <v>106</v>
      </c>
      <c r="B88" s="11">
        <v>45676</v>
      </c>
      <c r="C88" s="10" t="s">
        <v>39</v>
      </c>
      <c r="D88" s="10" t="s">
        <v>40</v>
      </c>
      <c r="E88" s="10" t="s">
        <v>75</v>
      </c>
      <c r="F88" s="10" t="s">
        <v>69</v>
      </c>
      <c r="G88" s="10" t="s">
        <v>66</v>
      </c>
      <c r="H88" s="10">
        <v>1</v>
      </c>
      <c r="I88" s="10">
        <v>32000</v>
      </c>
      <c r="J88" s="10">
        <v>21000</v>
      </c>
      <c r="K88" s="12">
        <v>0.1</v>
      </c>
      <c r="L88" s="10">
        <v>2</v>
      </c>
      <c r="M88" s="28" t="s">
        <v>107</v>
      </c>
      <c r="N88" s="29">
        <f>_xlfn.IFNA(VLOOKUP(Sales[customer_id],Cust[],11,FALSE),"Unknown")</f>
        <v>250000</v>
      </c>
      <c r="O88" s="29" t="str">
        <f>_xlfn.IFNA(VLOOKUP(Sales[customer_id], Cust[], 7,FALSE),"Unknown customer")</f>
        <v>Ibadan</v>
      </c>
      <c r="P88" s="29" t="str">
        <f>_xlfn.IFNA(VLOOKUP(Sales[[#This Row],[customer_id]],Cust[],4, FALSE),"Unknown customer")</f>
        <v>Femi Eze</v>
      </c>
      <c r="Q88" s="29" t="str">
        <f>_xlfn.IFNA(VLOOKUP(Sales[[#This Row],[customer_id]], Cust[], 10, FALSE), "Unknown customer")</f>
        <v>Corporate</v>
      </c>
      <c r="R88" s="29">
        <f>SUM(Sales[quantity]*Sales[[#This Row],[unit_price_ngn]]*(1-Sales[[#This Row],[discount_pct]]))</f>
        <v>28800</v>
      </c>
      <c r="S88" s="29">
        <f>Sales[[#This Row],[revenue]]-(Sales[[#This Row],[quantity]]*Sales[[#This Row],[unit_cost_ngn]])</f>
        <v>7800</v>
      </c>
      <c r="T88" s="41" t="str">
        <f>TEXT(Sales[order_date], "yyyy-mm")</f>
        <v>2025-01</v>
      </c>
    </row>
    <row r="89" spans="1:20" ht="15" customHeight="1" x14ac:dyDescent="0.25">
      <c r="A89" s="10" t="s">
        <v>117</v>
      </c>
      <c r="B89" s="11">
        <v>45678</v>
      </c>
      <c r="C89" s="10" t="s">
        <v>39</v>
      </c>
      <c r="D89" s="10" t="s">
        <v>40</v>
      </c>
      <c r="E89" s="10" t="s">
        <v>34</v>
      </c>
      <c r="F89" s="10" t="s">
        <v>50</v>
      </c>
      <c r="G89" s="10" t="s">
        <v>51</v>
      </c>
      <c r="H89" s="10">
        <v>3</v>
      </c>
      <c r="I89" s="10">
        <v>41000</v>
      </c>
      <c r="J89" s="10">
        <v>25000</v>
      </c>
      <c r="K89" s="12">
        <v>0</v>
      </c>
      <c r="L89" s="10">
        <v>5</v>
      </c>
      <c r="M89" s="28" t="s">
        <v>118</v>
      </c>
      <c r="N89" s="29">
        <f>_xlfn.IFNA(VLOOKUP(Sales[customer_id],Cust[],11,FALSE),"Unknown")</f>
        <v>150000</v>
      </c>
      <c r="O89" s="29" t="str">
        <f>_xlfn.IFNA(VLOOKUP(Sales[customer_id], Cust[], 7,FALSE),"Unknown customer")</f>
        <v>Ibadan</v>
      </c>
      <c r="P89" s="29" t="str">
        <f>_xlfn.IFNA(VLOOKUP(Sales[[#This Row],[customer_id]],Cust[],4, FALSE),"Unknown customer")</f>
        <v>Dayo Musa</v>
      </c>
      <c r="Q89" s="29" t="str">
        <f>_xlfn.IFNA(VLOOKUP(Sales[[#This Row],[customer_id]], Cust[], 10, FALSE), "Unknown customer")</f>
        <v>Retail</v>
      </c>
      <c r="R89" s="29">
        <f>SUM(Sales[quantity]*Sales[[#This Row],[unit_price_ngn]]*(1-Sales[[#This Row],[discount_pct]]))</f>
        <v>123000</v>
      </c>
      <c r="S89" s="29">
        <f>Sales[[#This Row],[revenue]]-(Sales[[#This Row],[quantity]]*Sales[[#This Row],[unit_cost_ngn]])</f>
        <v>48000</v>
      </c>
      <c r="T89" s="41" t="str">
        <f>TEXT(Sales[order_date], "yyyy-mm")</f>
        <v>2025-01</v>
      </c>
    </row>
    <row r="90" spans="1:20" ht="15" customHeight="1" x14ac:dyDescent="0.25">
      <c r="A90" s="10" t="s">
        <v>124</v>
      </c>
      <c r="B90" s="11">
        <v>45681</v>
      </c>
      <c r="C90" s="10" t="s">
        <v>39</v>
      </c>
      <c r="D90" s="10" t="s">
        <v>40</v>
      </c>
      <c r="E90" s="10" t="s">
        <v>45</v>
      </c>
      <c r="F90" s="10" t="s">
        <v>35</v>
      </c>
      <c r="G90" s="10" t="s">
        <v>36</v>
      </c>
      <c r="H90" s="10">
        <v>5</v>
      </c>
      <c r="I90" s="10">
        <v>18500</v>
      </c>
      <c r="J90" s="10">
        <v>11800</v>
      </c>
      <c r="K90" s="12">
        <v>0</v>
      </c>
      <c r="L90" s="10">
        <v>1</v>
      </c>
      <c r="M90" s="28" t="s">
        <v>125</v>
      </c>
      <c r="N90" s="29">
        <f>_xlfn.IFNA(VLOOKUP(Sales[customer_id],Cust[],11,FALSE),"Unknown")</f>
        <v>100000</v>
      </c>
      <c r="O90" s="29" t="str">
        <f>_xlfn.IFNA(VLOOKUP(Sales[customer_id], Cust[], 7,FALSE),"Unknown customer")</f>
        <v>Ibadan</v>
      </c>
      <c r="P90" s="29" t="str">
        <f>_xlfn.IFNA(VLOOKUP(Sales[[#This Row],[customer_id]],Cust[],4, FALSE),"Unknown customer")</f>
        <v>Uche Chukwu</v>
      </c>
      <c r="Q90" s="29" t="str">
        <f>_xlfn.IFNA(VLOOKUP(Sales[[#This Row],[customer_id]], Cust[], 10, FALSE), "Unknown customer")</f>
        <v>Wholesale</v>
      </c>
      <c r="R90" s="29">
        <f>SUM(Sales[quantity]*Sales[[#This Row],[unit_price_ngn]]*(1-Sales[[#This Row],[discount_pct]]))</f>
        <v>92500</v>
      </c>
      <c r="S90" s="29">
        <f>Sales[[#This Row],[revenue]]-(Sales[[#This Row],[quantity]]*Sales[[#This Row],[unit_cost_ngn]])</f>
        <v>33500</v>
      </c>
      <c r="T90" s="41" t="str">
        <f>TEXT(Sales[order_date], "yyyy-mm")</f>
        <v>2025-01</v>
      </c>
    </row>
    <row r="91" spans="1:20" ht="15" customHeight="1" x14ac:dyDescent="0.25">
      <c r="A91" s="10" t="s">
        <v>141</v>
      </c>
      <c r="B91" s="11">
        <v>45694</v>
      </c>
      <c r="C91" s="10" t="s">
        <v>39</v>
      </c>
      <c r="D91" s="10" t="s">
        <v>40</v>
      </c>
      <c r="E91" s="10" t="s">
        <v>56</v>
      </c>
      <c r="F91" s="10" t="s">
        <v>101</v>
      </c>
      <c r="G91" s="10" t="s">
        <v>61</v>
      </c>
      <c r="H91" s="10">
        <v>4</v>
      </c>
      <c r="I91" s="10">
        <v>28000</v>
      </c>
      <c r="J91" s="10">
        <v>18500</v>
      </c>
      <c r="K91" s="12">
        <v>0</v>
      </c>
      <c r="L91" s="10">
        <v>2</v>
      </c>
      <c r="M91" s="28" t="s">
        <v>41</v>
      </c>
      <c r="N91" s="29">
        <f>_xlfn.IFNA(VLOOKUP(Sales[customer_id],Cust[],11,FALSE),"Unknown")</f>
        <v>50000</v>
      </c>
      <c r="O91" s="29" t="str">
        <f>_xlfn.IFNA(VLOOKUP(Sales[customer_id], Cust[], 7,FALSE),"Unknown customer")</f>
        <v>Ibadan</v>
      </c>
      <c r="P91" s="29" t="str">
        <f>_xlfn.IFNA(VLOOKUP(Sales[[#This Row],[customer_id]],Cust[],4, FALSE),"Unknown customer")</f>
        <v>Hauwa Eze</v>
      </c>
      <c r="Q91" s="29" t="str">
        <f>_xlfn.IFNA(VLOOKUP(Sales[[#This Row],[customer_id]], Cust[], 10, FALSE), "Unknown customer")</f>
        <v>Wholesale</v>
      </c>
      <c r="R91" s="29">
        <f>SUM(Sales[quantity]*Sales[[#This Row],[unit_price_ngn]]*(1-Sales[[#This Row],[discount_pct]]))</f>
        <v>112000</v>
      </c>
      <c r="S91" s="29">
        <f>Sales[[#This Row],[revenue]]-(Sales[[#This Row],[quantity]]*Sales[[#This Row],[unit_cost_ngn]])</f>
        <v>38000</v>
      </c>
      <c r="T91" s="41" t="str">
        <f>TEXT(Sales[order_date], "yyyy-mm")</f>
        <v>2025-02</v>
      </c>
    </row>
    <row r="92" spans="1:20" ht="15" customHeight="1" x14ac:dyDescent="0.25">
      <c r="A92" s="10" t="s">
        <v>150</v>
      </c>
      <c r="B92" s="11">
        <v>45700</v>
      </c>
      <c r="C92" s="10" t="s">
        <v>39</v>
      </c>
      <c r="D92" s="10" t="s">
        <v>40</v>
      </c>
      <c r="E92" s="10" t="s">
        <v>56</v>
      </c>
      <c r="F92" s="10" t="s">
        <v>69</v>
      </c>
      <c r="G92" s="10" t="s">
        <v>66</v>
      </c>
      <c r="H92" s="10">
        <v>1</v>
      </c>
      <c r="I92" s="10">
        <v>32000</v>
      </c>
      <c r="J92" s="10">
        <v>21000</v>
      </c>
      <c r="K92" s="12">
        <v>0</v>
      </c>
      <c r="L92" s="10">
        <v>10</v>
      </c>
      <c r="M92" s="28" t="s">
        <v>102</v>
      </c>
      <c r="N92" s="29">
        <f>_xlfn.IFNA(VLOOKUP(Sales[customer_id],Cust[],11,FALSE),"Unknown")</f>
        <v>50000</v>
      </c>
      <c r="O92" s="29" t="str">
        <f>_xlfn.IFNA(VLOOKUP(Sales[customer_id], Cust[], 7,FALSE),"Unknown customer")</f>
        <v>Ibadan</v>
      </c>
      <c r="P92" s="29" t="str">
        <f>_xlfn.IFNA(VLOOKUP(Sales[[#This Row],[customer_id]],Cust[],4, FALSE),"Unknown customer")</f>
        <v>Jide Umeh</v>
      </c>
      <c r="Q92" s="29" t="str">
        <f>_xlfn.IFNA(VLOOKUP(Sales[[#This Row],[customer_id]], Cust[], 10, FALSE), "Unknown customer")</f>
        <v>Wholesale</v>
      </c>
      <c r="R92" s="29">
        <f>SUM(Sales[quantity]*Sales[[#This Row],[unit_price_ngn]]*(1-Sales[[#This Row],[discount_pct]]))</f>
        <v>32000</v>
      </c>
      <c r="S92" s="29">
        <f>Sales[[#This Row],[revenue]]-(Sales[[#This Row],[quantity]]*Sales[[#This Row],[unit_cost_ngn]])</f>
        <v>11000</v>
      </c>
      <c r="T92" s="41" t="str">
        <f>TEXT(Sales[order_date], "yyyy-mm")</f>
        <v>2025-02</v>
      </c>
    </row>
    <row r="93" spans="1:20" ht="15" customHeight="1" x14ac:dyDescent="0.25">
      <c r="A93" s="10" t="s">
        <v>193</v>
      </c>
      <c r="B93" s="11">
        <v>45728</v>
      </c>
      <c r="C93" s="10" t="s">
        <v>39</v>
      </c>
      <c r="D93" s="10" t="s">
        <v>40</v>
      </c>
      <c r="E93" s="10" t="s">
        <v>34</v>
      </c>
      <c r="F93" s="10" t="s">
        <v>72</v>
      </c>
      <c r="G93" s="10" t="s">
        <v>47</v>
      </c>
      <c r="H93" s="10">
        <v>1</v>
      </c>
      <c r="I93" s="10">
        <v>46000</v>
      </c>
      <c r="J93" s="10">
        <v>39000</v>
      </c>
      <c r="K93" s="12">
        <v>0</v>
      </c>
      <c r="L93" s="10">
        <v>1</v>
      </c>
      <c r="M93" s="28" t="s">
        <v>102</v>
      </c>
      <c r="N93" s="29">
        <f>_xlfn.IFNA(VLOOKUP(Sales[customer_id],Cust[],11,FALSE),"Unknown")</f>
        <v>50000</v>
      </c>
      <c r="O93" s="29" t="str">
        <f>_xlfn.IFNA(VLOOKUP(Sales[customer_id], Cust[], 7,FALSE),"Unknown customer")</f>
        <v>Ibadan</v>
      </c>
      <c r="P93" s="29" t="str">
        <f>_xlfn.IFNA(VLOOKUP(Sales[[#This Row],[customer_id]],Cust[],4, FALSE),"Unknown customer")</f>
        <v>Jide Umeh</v>
      </c>
      <c r="Q93" s="29" t="str">
        <f>_xlfn.IFNA(VLOOKUP(Sales[[#This Row],[customer_id]], Cust[], 10, FALSE), "Unknown customer")</f>
        <v>Wholesale</v>
      </c>
      <c r="R93" s="29">
        <f>SUM(Sales[quantity]*Sales[[#This Row],[unit_price_ngn]]*(1-Sales[[#This Row],[discount_pct]]))</f>
        <v>46000</v>
      </c>
      <c r="S93" s="29">
        <f>Sales[[#This Row],[revenue]]-(Sales[[#This Row],[quantity]]*Sales[[#This Row],[unit_cost_ngn]])</f>
        <v>7000</v>
      </c>
      <c r="T93" s="41" t="str">
        <f>TEXT(Sales[order_date], "yyyy-mm")</f>
        <v>2025-03</v>
      </c>
    </row>
    <row r="94" spans="1:20" ht="15" customHeight="1" x14ac:dyDescent="0.25">
      <c r="A94" s="10" t="s">
        <v>202</v>
      </c>
      <c r="B94" s="11">
        <v>45734</v>
      </c>
      <c r="C94" s="10" t="s">
        <v>39</v>
      </c>
      <c r="D94" s="10" t="s">
        <v>40</v>
      </c>
      <c r="E94" s="10" t="s">
        <v>75</v>
      </c>
      <c r="F94" s="10" t="s">
        <v>57</v>
      </c>
      <c r="G94" s="10" t="s">
        <v>51</v>
      </c>
      <c r="H94" s="10">
        <v>2</v>
      </c>
      <c r="I94" s="10">
        <v>27500</v>
      </c>
      <c r="J94" s="10">
        <v>16500</v>
      </c>
      <c r="K94" s="12">
        <v>0.05</v>
      </c>
      <c r="L94" s="10">
        <v>4</v>
      </c>
      <c r="M94" s="28" t="s">
        <v>118</v>
      </c>
      <c r="N94" s="29">
        <f>_xlfn.IFNA(VLOOKUP(Sales[customer_id],Cust[],11,FALSE),"Unknown")</f>
        <v>150000</v>
      </c>
      <c r="O94" s="29" t="str">
        <f>_xlfn.IFNA(VLOOKUP(Sales[customer_id], Cust[], 7,FALSE),"Unknown customer")</f>
        <v>Ibadan</v>
      </c>
      <c r="P94" s="29" t="str">
        <f>_xlfn.IFNA(VLOOKUP(Sales[[#This Row],[customer_id]],Cust[],4, FALSE),"Unknown customer")</f>
        <v>Dayo Musa</v>
      </c>
      <c r="Q94" s="29" t="str">
        <f>_xlfn.IFNA(VLOOKUP(Sales[[#This Row],[customer_id]], Cust[], 10, FALSE), "Unknown customer")</f>
        <v>Retail</v>
      </c>
      <c r="R94" s="29">
        <f>SUM(Sales[quantity]*Sales[[#This Row],[unit_price_ngn]]*(1-Sales[[#This Row],[discount_pct]]))</f>
        <v>52250</v>
      </c>
      <c r="S94" s="29">
        <f>Sales[[#This Row],[revenue]]-(Sales[[#This Row],[quantity]]*Sales[[#This Row],[unit_cost_ngn]])</f>
        <v>19250</v>
      </c>
      <c r="T94" s="41" t="str">
        <f>TEXT(Sales[order_date], "yyyy-mm")</f>
        <v>2025-03</v>
      </c>
    </row>
    <row r="95" spans="1:20" ht="15" customHeight="1" x14ac:dyDescent="0.25">
      <c r="A95" s="10" t="s">
        <v>203</v>
      </c>
      <c r="B95" s="11">
        <v>45735</v>
      </c>
      <c r="C95" s="10" t="s">
        <v>39</v>
      </c>
      <c r="D95" s="10" t="s">
        <v>40</v>
      </c>
      <c r="E95" s="10" t="s">
        <v>45</v>
      </c>
      <c r="F95" s="10" t="s">
        <v>199</v>
      </c>
      <c r="G95" s="10" t="s">
        <v>36</v>
      </c>
      <c r="H95" s="10">
        <v>5</v>
      </c>
      <c r="I95" s="10">
        <v>15500</v>
      </c>
      <c r="J95" s="10">
        <v>9900</v>
      </c>
      <c r="K95" s="12">
        <v>0</v>
      </c>
      <c r="L95" s="10">
        <v>2</v>
      </c>
      <c r="M95" s="28" t="s">
        <v>118</v>
      </c>
      <c r="N95" s="29">
        <f>_xlfn.IFNA(VLOOKUP(Sales[customer_id],Cust[],11,FALSE),"Unknown")</f>
        <v>150000</v>
      </c>
      <c r="O95" s="29" t="str">
        <f>_xlfn.IFNA(VLOOKUP(Sales[customer_id], Cust[], 7,FALSE),"Unknown customer")</f>
        <v>Ibadan</v>
      </c>
      <c r="P95" s="29" t="str">
        <f>_xlfn.IFNA(VLOOKUP(Sales[[#This Row],[customer_id]],Cust[],4, FALSE),"Unknown customer")</f>
        <v>Dayo Musa</v>
      </c>
      <c r="Q95" s="29" t="str">
        <f>_xlfn.IFNA(VLOOKUP(Sales[[#This Row],[customer_id]], Cust[], 10, FALSE), "Unknown customer")</f>
        <v>Retail</v>
      </c>
      <c r="R95" s="29">
        <f>SUM(Sales[quantity]*Sales[[#This Row],[unit_price_ngn]]*(1-Sales[[#This Row],[discount_pct]]))</f>
        <v>77500</v>
      </c>
      <c r="S95" s="29">
        <f>Sales[[#This Row],[revenue]]-(Sales[[#This Row],[quantity]]*Sales[[#This Row],[unit_cost_ngn]])</f>
        <v>28000</v>
      </c>
      <c r="T95" s="41" t="str">
        <f>TEXT(Sales[order_date], "yyyy-mm")</f>
        <v>2025-03</v>
      </c>
    </row>
    <row r="96" spans="1:20" ht="15" customHeight="1" x14ac:dyDescent="0.25">
      <c r="A96" s="10" t="s">
        <v>209</v>
      </c>
      <c r="B96" s="11">
        <v>45738</v>
      </c>
      <c r="C96" s="10" t="s">
        <v>39</v>
      </c>
      <c r="D96" s="10" t="s">
        <v>40</v>
      </c>
      <c r="E96" s="10" t="s">
        <v>34</v>
      </c>
      <c r="F96" s="10" t="s">
        <v>35</v>
      </c>
      <c r="G96" s="10" t="s">
        <v>36</v>
      </c>
      <c r="H96" s="10">
        <v>8</v>
      </c>
      <c r="I96" s="10">
        <v>18500</v>
      </c>
      <c r="J96" s="10">
        <v>11800</v>
      </c>
      <c r="K96" s="12">
        <v>0</v>
      </c>
      <c r="L96" s="10">
        <v>3</v>
      </c>
      <c r="M96" s="28" t="s">
        <v>210</v>
      </c>
      <c r="N96" s="29">
        <f>_xlfn.IFNA(VLOOKUP(Sales[customer_id],Cust[],11,FALSE),"Unknown")</f>
        <v>250000</v>
      </c>
      <c r="O96" s="29" t="str">
        <f>_xlfn.IFNA(VLOOKUP(Sales[customer_id], Cust[], 7,FALSE),"Unknown customer")</f>
        <v>Ibadan</v>
      </c>
      <c r="P96" s="29" t="str">
        <f>_xlfn.IFNA(VLOOKUP(Sales[[#This Row],[customer_id]],Cust[],4, FALSE),"Unknown customer")</f>
        <v>Tunde Mohammed</v>
      </c>
      <c r="Q96" s="29" t="str">
        <f>_xlfn.IFNA(VLOOKUP(Sales[[#This Row],[customer_id]], Cust[], 10, FALSE), "Unknown customer")</f>
        <v>Retail</v>
      </c>
      <c r="R96" s="29">
        <f>SUM(Sales[quantity]*Sales[[#This Row],[unit_price_ngn]]*(1-Sales[[#This Row],[discount_pct]]))</f>
        <v>148000</v>
      </c>
      <c r="S96" s="29">
        <f>Sales[[#This Row],[revenue]]-(Sales[[#This Row],[quantity]]*Sales[[#This Row],[unit_cost_ngn]])</f>
        <v>53600</v>
      </c>
      <c r="T96" s="41" t="str">
        <f>TEXT(Sales[order_date], "yyyy-mm")</f>
        <v>2025-03</v>
      </c>
    </row>
    <row r="97" spans="1:20" ht="15" customHeight="1" x14ac:dyDescent="0.25">
      <c r="A97" s="10" t="s">
        <v>222</v>
      </c>
      <c r="B97" s="11">
        <v>45748</v>
      </c>
      <c r="C97" s="10" t="s">
        <v>39</v>
      </c>
      <c r="D97" s="10" t="s">
        <v>40</v>
      </c>
      <c r="E97" s="10" t="s">
        <v>75</v>
      </c>
      <c r="F97" s="10" t="s">
        <v>69</v>
      </c>
      <c r="G97" s="10" t="s">
        <v>66</v>
      </c>
      <c r="H97" s="10">
        <v>3</v>
      </c>
      <c r="I97" s="10">
        <v>32000</v>
      </c>
      <c r="J97" s="10">
        <v>21000</v>
      </c>
      <c r="K97" s="12">
        <v>0</v>
      </c>
      <c r="L97" s="10">
        <v>2</v>
      </c>
      <c r="M97" s="28" t="s">
        <v>107</v>
      </c>
      <c r="N97" s="29">
        <f>_xlfn.IFNA(VLOOKUP(Sales[customer_id],Cust[],11,FALSE),"Unknown")</f>
        <v>250000</v>
      </c>
      <c r="O97" s="29" t="str">
        <f>_xlfn.IFNA(VLOOKUP(Sales[customer_id], Cust[], 7,FALSE),"Unknown customer")</f>
        <v>Ibadan</v>
      </c>
      <c r="P97" s="29" t="str">
        <f>_xlfn.IFNA(VLOOKUP(Sales[[#This Row],[customer_id]],Cust[],4, FALSE),"Unknown customer")</f>
        <v>Femi Eze</v>
      </c>
      <c r="Q97" s="29" t="str">
        <f>_xlfn.IFNA(VLOOKUP(Sales[[#This Row],[customer_id]], Cust[], 10, FALSE), "Unknown customer")</f>
        <v>Corporate</v>
      </c>
      <c r="R97" s="29">
        <f>SUM(Sales[quantity]*Sales[[#This Row],[unit_price_ngn]]*(1-Sales[[#This Row],[discount_pct]]))</f>
        <v>96000</v>
      </c>
      <c r="S97" s="29">
        <f>Sales[[#This Row],[revenue]]-(Sales[[#This Row],[quantity]]*Sales[[#This Row],[unit_cost_ngn]])</f>
        <v>33000</v>
      </c>
      <c r="T97" s="41" t="str">
        <f>TEXT(Sales[order_date], "yyyy-mm")</f>
        <v>2025-04</v>
      </c>
    </row>
    <row r="98" spans="1:20" ht="15" customHeight="1" x14ac:dyDescent="0.25">
      <c r="A98" s="10" t="s">
        <v>236</v>
      </c>
      <c r="B98" s="11">
        <v>45756</v>
      </c>
      <c r="C98" s="10" t="s">
        <v>39</v>
      </c>
      <c r="D98" s="10" t="s">
        <v>40</v>
      </c>
      <c r="E98" s="10" t="s">
        <v>56</v>
      </c>
      <c r="F98" s="10" t="s">
        <v>72</v>
      </c>
      <c r="G98" s="10" t="s">
        <v>47</v>
      </c>
      <c r="H98" s="10">
        <v>3</v>
      </c>
      <c r="I98" s="10">
        <v>46000</v>
      </c>
      <c r="J98" s="10">
        <v>39000</v>
      </c>
      <c r="K98" s="12">
        <v>0</v>
      </c>
      <c r="L98" s="10">
        <v>2</v>
      </c>
      <c r="M98" s="28" t="s">
        <v>237</v>
      </c>
      <c r="N98" s="29">
        <f>_xlfn.IFNA(VLOOKUP(Sales[customer_id],Cust[],11,FALSE),"Unknown")</f>
        <v>50000</v>
      </c>
      <c r="O98" s="29" t="str">
        <f>_xlfn.IFNA(VLOOKUP(Sales[customer_id], Cust[], 7,FALSE),"Unknown customer")</f>
        <v>Ibadan</v>
      </c>
      <c r="P98" s="29" t="str">
        <f>_xlfn.IFNA(VLOOKUP(Sales[[#This Row],[customer_id]],Cust[],4, FALSE),"Unknown customer")</f>
        <v>Obinna Oyelaran</v>
      </c>
      <c r="Q98" s="29" t="str">
        <f>_xlfn.IFNA(VLOOKUP(Sales[[#This Row],[customer_id]], Cust[], 10, FALSE), "Unknown customer")</f>
        <v>Retail</v>
      </c>
      <c r="R98" s="29">
        <f>SUM(Sales[quantity]*Sales[[#This Row],[unit_price_ngn]]*(1-Sales[[#This Row],[discount_pct]]))</f>
        <v>138000</v>
      </c>
      <c r="S98" s="29">
        <f>Sales[[#This Row],[revenue]]-(Sales[[#This Row],[quantity]]*Sales[[#This Row],[unit_cost_ngn]])</f>
        <v>21000</v>
      </c>
      <c r="T98" s="41" t="str">
        <f>TEXT(Sales[order_date], "yyyy-mm")</f>
        <v>2025-04</v>
      </c>
    </row>
    <row r="99" spans="1:20" ht="15" customHeight="1" x14ac:dyDescent="0.25">
      <c r="A99" s="10" t="s">
        <v>239</v>
      </c>
      <c r="B99" s="11">
        <v>45757</v>
      </c>
      <c r="C99" s="10" t="s">
        <v>39</v>
      </c>
      <c r="D99" s="10" t="s">
        <v>40</v>
      </c>
      <c r="E99" s="10" t="s">
        <v>56</v>
      </c>
      <c r="F99" s="10" t="s">
        <v>199</v>
      </c>
      <c r="G99" s="10" t="s">
        <v>36</v>
      </c>
      <c r="H99" s="10">
        <v>2</v>
      </c>
      <c r="I99" s="10">
        <v>15500</v>
      </c>
      <c r="J99" s="10">
        <v>9900</v>
      </c>
      <c r="K99" s="12">
        <v>0.05</v>
      </c>
      <c r="L99" s="10">
        <v>2</v>
      </c>
      <c r="M99" s="28" t="s">
        <v>240</v>
      </c>
      <c r="N99" s="29">
        <f>_xlfn.IFNA(VLOOKUP(Sales[customer_id],Cust[],11,FALSE),"Unknown")</f>
        <v>150000</v>
      </c>
      <c r="O99" s="29" t="str">
        <f>_xlfn.IFNA(VLOOKUP(Sales[customer_id], Cust[], 7,FALSE),"Unknown customer")</f>
        <v>Ibadan</v>
      </c>
      <c r="P99" s="29" t="str">
        <f>_xlfn.IFNA(VLOOKUP(Sales[[#This Row],[customer_id]],Cust[],4, FALSE),"Unknown customer")</f>
        <v>Femi Umeh</v>
      </c>
      <c r="Q99" s="29" t="str">
        <f>_xlfn.IFNA(VLOOKUP(Sales[[#This Row],[customer_id]], Cust[], 10, FALSE), "Unknown customer")</f>
        <v>Corporate</v>
      </c>
      <c r="R99" s="29">
        <f>SUM(Sales[quantity]*Sales[[#This Row],[unit_price_ngn]]*(1-Sales[[#This Row],[discount_pct]]))</f>
        <v>29450</v>
      </c>
      <c r="S99" s="29">
        <f>Sales[[#This Row],[revenue]]-(Sales[[#This Row],[quantity]]*Sales[[#This Row],[unit_cost_ngn]])</f>
        <v>9650</v>
      </c>
      <c r="T99" s="41" t="str">
        <f>TEXT(Sales[order_date], "yyyy-mm")</f>
        <v>2025-04</v>
      </c>
    </row>
    <row r="100" spans="1:20" ht="15" customHeight="1" x14ac:dyDescent="0.25">
      <c r="A100" s="10" t="s">
        <v>244</v>
      </c>
      <c r="B100" s="11">
        <v>45759</v>
      </c>
      <c r="C100" s="10" t="s">
        <v>39</v>
      </c>
      <c r="D100" s="10" t="s">
        <v>40</v>
      </c>
      <c r="E100" s="10" t="s">
        <v>56</v>
      </c>
      <c r="F100" s="10" t="s">
        <v>69</v>
      </c>
      <c r="G100" s="10" t="s">
        <v>66</v>
      </c>
      <c r="H100" s="10">
        <v>1</v>
      </c>
      <c r="I100" s="10">
        <v>32000</v>
      </c>
      <c r="J100" s="10">
        <v>21000</v>
      </c>
      <c r="K100" s="12">
        <v>0</v>
      </c>
      <c r="L100" s="10">
        <v>3</v>
      </c>
      <c r="M100" s="28" t="s">
        <v>245</v>
      </c>
      <c r="N100" s="29">
        <f>_xlfn.IFNA(VLOOKUP(Sales[customer_id],Cust[],11,FALSE),"Unknown")</f>
        <v>150000</v>
      </c>
      <c r="O100" s="29" t="str">
        <f>_xlfn.IFNA(VLOOKUP(Sales[customer_id], Cust[], 7,FALSE),"Unknown customer")</f>
        <v>Ibadan</v>
      </c>
      <c r="P100" s="29" t="str">
        <f>_xlfn.IFNA(VLOOKUP(Sales[[#This Row],[customer_id]],Cust[],4, FALSE),"Unknown customer")</f>
        <v>Maryam Fashola</v>
      </c>
      <c r="Q100" s="29" t="str">
        <f>_xlfn.IFNA(VLOOKUP(Sales[[#This Row],[customer_id]], Cust[], 10, FALSE), "Unknown customer")</f>
        <v>Retail</v>
      </c>
      <c r="R100" s="29">
        <f>SUM(Sales[quantity]*Sales[[#This Row],[unit_price_ngn]]*(1-Sales[[#This Row],[discount_pct]]))</f>
        <v>32000</v>
      </c>
      <c r="S100" s="29">
        <f>Sales[[#This Row],[revenue]]-(Sales[[#This Row],[quantity]]*Sales[[#This Row],[unit_cost_ngn]])</f>
        <v>11000</v>
      </c>
      <c r="T100" s="41" t="str">
        <f>TEXT(Sales[order_date], "yyyy-mm")</f>
        <v>2025-04</v>
      </c>
    </row>
    <row r="101" spans="1:20" ht="15" customHeight="1" x14ac:dyDescent="0.25">
      <c r="A101" s="10" t="s">
        <v>266</v>
      </c>
      <c r="B101" s="11">
        <v>45770</v>
      </c>
      <c r="C101" s="10" t="s">
        <v>39</v>
      </c>
      <c r="D101" s="10" t="s">
        <v>40</v>
      </c>
      <c r="E101" s="10" t="s">
        <v>45</v>
      </c>
      <c r="F101" s="10" t="s">
        <v>72</v>
      </c>
      <c r="G101" s="10" t="s">
        <v>47</v>
      </c>
      <c r="H101" s="10">
        <v>8</v>
      </c>
      <c r="I101" s="10">
        <v>46000</v>
      </c>
      <c r="J101" s="10">
        <v>39000</v>
      </c>
      <c r="K101" s="12">
        <v>0</v>
      </c>
      <c r="L101" s="10">
        <v>2</v>
      </c>
      <c r="M101" s="28" t="s">
        <v>237</v>
      </c>
      <c r="N101" s="29">
        <f>_xlfn.IFNA(VLOOKUP(Sales[customer_id],Cust[],11,FALSE),"Unknown")</f>
        <v>50000</v>
      </c>
      <c r="O101" s="29" t="str">
        <f>_xlfn.IFNA(VLOOKUP(Sales[customer_id], Cust[], 7,FALSE),"Unknown customer")</f>
        <v>Ibadan</v>
      </c>
      <c r="P101" s="29" t="str">
        <f>_xlfn.IFNA(VLOOKUP(Sales[[#This Row],[customer_id]],Cust[],4, FALSE),"Unknown customer")</f>
        <v>Obinna Oyelaran</v>
      </c>
      <c r="Q101" s="29" t="str">
        <f>_xlfn.IFNA(VLOOKUP(Sales[[#This Row],[customer_id]], Cust[], 10, FALSE), "Unknown customer")</f>
        <v>Retail</v>
      </c>
      <c r="R101" s="29">
        <f>SUM(Sales[quantity]*Sales[[#This Row],[unit_price_ngn]]*(1-Sales[[#This Row],[discount_pct]]))</f>
        <v>368000</v>
      </c>
      <c r="S101" s="29">
        <f>Sales[[#This Row],[revenue]]-(Sales[[#This Row],[quantity]]*Sales[[#This Row],[unit_cost_ngn]])</f>
        <v>56000</v>
      </c>
      <c r="T101" s="41" t="str">
        <f>TEXT(Sales[order_date], "yyyy-mm")</f>
        <v>2025-04</v>
      </c>
    </row>
    <row r="102" spans="1:20" ht="15" customHeight="1" x14ac:dyDescent="0.25">
      <c r="A102" s="10" t="s">
        <v>268</v>
      </c>
      <c r="B102" s="11">
        <v>45771</v>
      </c>
      <c r="C102" s="10" t="s">
        <v>39</v>
      </c>
      <c r="D102" s="10" t="s">
        <v>40</v>
      </c>
      <c r="E102" s="10" t="s">
        <v>75</v>
      </c>
      <c r="F102" s="10" t="s">
        <v>50</v>
      </c>
      <c r="G102" s="10" t="s">
        <v>51</v>
      </c>
      <c r="H102" s="10">
        <v>3</v>
      </c>
      <c r="I102" s="10">
        <v>41000</v>
      </c>
      <c r="J102" s="10">
        <v>25000</v>
      </c>
      <c r="K102" s="12">
        <v>0</v>
      </c>
      <c r="L102" s="10">
        <v>2</v>
      </c>
      <c r="M102" s="28" t="s">
        <v>107</v>
      </c>
      <c r="N102" s="29">
        <f>_xlfn.IFNA(VLOOKUP(Sales[customer_id],Cust[],11,FALSE),"Unknown")</f>
        <v>250000</v>
      </c>
      <c r="O102" s="29" t="str">
        <f>_xlfn.IFNA(VLOOKUP(Sales[customer_id], Cust[], 7,FALSE),"Unknown customer")</f>
        <v>Ibadan</v>
      </c>
      <c r="P102" s="29" t="str">
        <f>_xlfn.IFNA(VLOOKUP(Sales[[#This Row],[customer_id]],Cust[],4, FALSE),"Unknown customer")</f>
        <v>Femi Eze</v>
      </c>
      <c r="Q102" s="29" t="str">
        <f>_xlfn.IFNA(VLOOKUP(Sales[[#This Row],[customer_id]], Cust[], 10, FALSE), "Unknown customer")</f>
        <v>Corporate</v>
      </c>
      <c r="R102" s="29">
        <f>SUM(Sales[quantity]*Sales[[#This Row],[unit_price_ngn]]*(1-Sales[[#This Row],[discount_pct]]))</f>
        <v>123000</v>
      </c>
      <c r="S102" s="29">
        <f>Sales[[#This Row],[revenue]]-(Sales[[#This Row],[quantity]]*Sales[[#This Row],[unit_cost_ngn]])</f>
        <v>48000</v>
      </c>
      <c r="T102" s="41" t="str">
        <f>TEXT(Sales[order_date], "yyyy-mm")</f>
        <v>2025-04</v>
      </c>
    </row>
    <row r="103" spans="1:20" ht="15" customHeight="1" x14ac:dyDescent="0.25">
      <c r="A103" s="10" t="s">
        <v>270</v>
      </c>
      <c r="B103" s="11">
        <v>45771</v>
      </c>
      <c r="C103" s="10" t="s">
        <v>39</v>
      </c>
      <c r="D103" s="10" t="s">
        <v>40</v>
      </c>
      <c r="E103" s="10" t="s">
        <v>56</v>
      </c>
      <c r="F103" s="10" t="s">
        <v>199</v>
      </c>
      <c r="G103" s="10" t="s">
        <v>36</v>
      </c>
      <c r="H103" s="10">
        <v>3</v>
      </c>
      <c r="I103" s="10">
        <v>15500</v>
      </c>
      <c r="J103" s="10">
        <v>9900</v>
      </c>
      <c r="K103" s="12">
        <v>0</v>
      </c>
      <c r="L103" s="10">
        <v>2</v>
      </c>
      <c r="M103" s="28" t="s">
        <v>245</v>
      </c>
      <c r="N103" s="29">
        <f>_xlfn.IFNA(VLOOKUP(Sales[customer_id],Cust[],11,FALSE),"Unknown")</f>
        <v>150000</v>
      </c>
      <c r="O103" s="29" t="str">
        <f>_xlfn.IFNA(VLOOKUP(Sales[customer_id], Cust[], 7,FALSE),"Unknown customer")</f>
        <v>Ibadan</v>
      </c>
      <c r="P103" s="29" t="str">
        <f>_xlfn.IFNA(VLOOKUP(Sales[[#This Row],[customer_id]],Cust[],4, FALSE),"Unknown customer")</f>
        <v>Maryam Fashola</v>
      </c>
      <c r="Q103" s="29" t="str">
        <f>_xlfn.IFNA(VLOOKUP(Sales[[#This Row],[customer_id]], Cust[], 10, FALSE), "Unknown customer")</f>
        <v>Retail</v>
      </c>
      <c r="R103" s="29">
        <f>SUM(Sales[quantity]*Sales[[#This Row],[unit_price_ngn]]*(1-Sales[[#This Row],[discount_pct]]))</f>
        <v>46500</v>
      </c>
      <c r="S103" s="29">
        <f>Sales[[#This Row],[revenue]]-(Sales[[#This Row],[quantity]]*Sales[[#This Row],[unit_cost_ngn]])</f>
        <v>16800</v>
      </c>
      <c r="T103" s="41" t="str">
        <f>TEXT(Sales[order_date], "yyyy-mm")</f>
        <v>2025-04</v>
      </c>
    </row>
    <row r="104" spans="1:20" ht="15" customHeight="1" x14ac:dyDescent="0.25">
      <c r="A104" s="10" t="s">
        <v>276</v>
      </c>
      <c r="B104" s="11">
        <v>45780</v>
      </c>
      <c r="C104" s="10" t="s">
        <v>39</v>
      </c>
      <c r="D104" s="10" t="s">
        <v>40</v>
      </c>
      <c r="E104" s="10" t="s">
        <v>56</v>
      </c>
      <c r="F104" s="10" t="s">
        <v>78</v>
      </c>
      <c r="G104" s="10" t="s">
        <v>36</v>
      </c>
      <c r="H104" s="10">
        <v>4</v>
      </c>
      <c r="I104" s="10">
        <v>22000</v>
      </c>
      <c r="J104" s="10">
        <v>13800</v>
      </c>
      <c r="K104" s="12">
        <v>0</v>
      </c>
      <c r="L104" s="10">
        <v>3</v>
      </c>
      <c r="M104" s="28" t="s">
        <v>102</v>
      </c>
      <c r="N104" s="29">
        <f>_xlfn.IFNA(VLOOKUP(Sales[customer_id],Cust[],11,FALSE),"Unknown")</f>
        <v>50000</v>
      </c>
      <c r="O104" s="29" t="str">
        <f>_xlfn.IFNA(VLOOKUP(Sales[customer_id], Cust[], 7,FALSE),"Unknown customer")</f>
        <v>Ibadan</v>
      </c>
      <c r="P104" s="29" t="str">
        <f>_xlfn.IFNA(VLOOKUP(Sales[[#This Row],[customer_id]],Cust[],4, FALSE),"Unknown customer")</f>
        <v>Jide Umeh</v>
      </c>
      <c r="Q104" s="29" t="str">
        <f>_xlfn.IFNA(VLOOKUP(Sales[[#This Row],[customer_id]], Cust[], 10, FALSE), "Unknown customer")</f>
        <v>Wholesale</v>
      </c>
      <c r="R104" s="29">
        <f>SUM(Sales[quantity]*Sales[[#This Row],[unit_price_ngn]]*(1-Sales[[#This Row],[discount_pct]]))</f>
        <v>88000</v>
      </c>
      <c r="S104" s="29">
        <f>Sales[[#This Row],[revenue]]-(Sales[[#This Row],[quantity]]*Sales[[#This Row],[unit_cost_ngn]])</f>
        <v>32800</v>
      </c>
      <c r="T104" s="41" t="str">
        <f>TEXT(Sales[order_date], "yyyy-mm")</f>
        <v>2025-05</v>
      </c>
    </row>
    <row r="105" spans="1:20" ht="15" customHeight="1" x14ac:dyDescent="0.25">
      <c r="A105" s="10" t="s">
        <v>295</v>
      </c>
      <c r="B105" s="11">
        <v>45792</v>
      </c>
      <c r="C105" s="10" t="s">
        <v>39</v>
      </c>
      <c r="D105" s="10" t="s">
        <v>40</v>
      </c>
      <c r="E105" s="10" t="s">
        <v>75</v>
      </c>
      <c r="F105" s="10" t="s">
        <v>57</v>
      </c>
      <c r="G105" s="10" t="s">
        <v>51</v>
      </c>
      <c r="H105" s="10">
        <v>4</v>
      </c>
      <c r="I105" s="10">
        <v>27500</v>
      </c>
      <c r="J105" s="10">
        <v>16500</v>
      </c>
      <c r="K105" s="12">
        <v>0</v>
      </c>
      <c r="L105" s="10">
        <v>7</v>
      </c>
      <c r="M105" s="28" t="s">
        <v>237</v>
      </c>
      <c r="N105" s="29">
        <f>_xlfn.IFNA(VLOOKUP(Sales[customer_id],Cust[],11,FALSE),"Unknown")</f>
        <v>50000</v>
      </c>
      <c r="O105" s="29" t="str">
        <f>_xlfn.IFNA(VLOOKUP(Sales[customer_id], Cust[], 7,FALSE),"Unknown customer")</f>
        <v>Ibadan</v>
      </c>
      <c r="P105" s="29" t="str">
        <f>_xlfn.IFNA(VLOOKUP(Sales[[#This Row],[customer_id]],Cust[],4, FALSE),"Unknown customer")</f>
        <v>Obinna Oyelaran</v>
      </c>
      <c r="Q105" s="29" t="str">
        <f>_xlfn.IFNA(VLOOKUP(Sales[[#This Row],[customer_id]], Cust[], 10, FALSE), "Unknown customer")</f>
        <v>Retail</v>
      </c>
      <c r="R105" s="29">
        <f>SUM(Sales[quantity]*Sales[[#This Row],[unit_price_ngn]]*(1-Sales[[#This Row],[discount_pct]]))</f>
        <v>110000</v>
      </c>
      <c r="S105" s="29">
        <f>Sales[[#This Row],[revenue]]-(Sales[[#This Row],[quantity]]*Sales[[#This Row],[unit_cost_ngn]])</f>
        <v>44000</v>
      </c>
      <c r="T105" s="41" t="str">
        <f>TEXT(Sales[order_date], "yyyy-mm")</f>
        <v>2025-05</v>
      </c>
    </row>
    <row r="106" spans="1:20" ht="15" customHeight="1" x14ac:dyDescent="0.25">
      <c r="A106" s="10" t="s">
        <v>307</v>
      </c>
      <c r="B106" s="11">
        <v>45802</v>
      </c>
      <c r="C106" s="10" t="s">
        <v>39</v>
      </c>
      <c r="D106" s="10" t="s">
        <v>40</v>
      </c>
      <c r="E106" s="10" t="s">
        <v>34</v>
      </c>
      <c r="F106" s="10" t="s">
        <v>101</v>
      </c>
      <c r="G106" s="10" t="s">
        <v>61</v>
      </c>
      <c r="H106" s="10">
        <v>2</v>
      </c>
      <c r="I106" s="10">
        <v>28000</v>
      </c>
      <c r="J106" s="10">
        <v>18500</v>
      </c>
      <c r="K106" s="12">
        <v>0</v>
      </c>
      <c r="L106" s="10">
        <v>1</v>
      </c>
      <c r="M106" s="28" t="s">
        <v>308</v>
      </c>
      <c r="N106" s="29">
        <f>_xlfn.IFNA(VLOOKUP(Sales[customer_id],Cust[],11,FALSE),"Unknown")</f>
        <v>250000</v>
      </c>
      <c r="O106" s="29" t="str">
        <f>_xlfn.IFNA(VLOOKUP(Sales[customer_id], Cust[], 7,FALSE),"Unknown customer")</f>
        <v>Ibadan</v>
      </c>
      <c r="P106" s="29" t="str">
        <f>_xlfn.IFNA(VLOOKUP(Sales[[#This Row],[customer_id]],Cust[],4, FALSE),"Unknown customer")</f>
        <v>Emeka Ibrahim</v>
      </c>
      <c r="Q106" s="29" t="str">
        <f>_xlfn.IFNA(VLOOKUP(Sales[[#This Row],[customer_id]], Cust[], 10, FALSE), "Unknown customer")</f>
        <v>Retail</v>
      </c>
      <c r="R106" s="29">
        <f>SUM(Sales[quantity]*Sales[[#This Row],[unit_price_ngn]]*(1-Sales[[#This Row],[discount_pct]]))</f>
        <v>56000</v>
      </c>
      <c r="S106" s="29">
        <f>Sales[[#This Row],[revenue]]-(Sales[[#This Row],[quantity]]*Sales[[#This Row],[unit_cost_ngn]])</f>
        <v>19000</v>
      </c>
      <c r="T106" s="41" t="str">
        <f>TEXT(Sales[order_date], "yyyy-mm")</f>
        <v>2025-05</v>
      </c>
    </row>
    <row r="107" spans="1:20" ht="15" customHeight="1" x14ac:dyDescent="0.25">
      <c r="A107" s="10" t="s">
        <v>309</v>
      </c>
      <c r="B107" s="11">
        <v>45803</v>
      </c>
      <c r="C107" s="10" t="s">
        <v>39</v>
      </c>
      <c r="D107" s="10" t="s">
        <v>40</v>
      </c>
      <c r="E107" s="10" t="s">
        <v>56</v>
      </c>
      <c r="F107" s="10" t="s">
        <v>57</v>
      </c>
      <c r="G107" s="10" t="s">
        <v>51</v>
      </c>
      <c r="H107" s="10">
        <v>1</v>
      </c>
      <c r="I107" s="10">
        <v>27500</v>
      </c>
      <c r="J107" s="10">
        <v>16500</v>
      </c>
      <c r="K107" s="12">
        <v>0</v>
      </c>
      <c r="L107" s="10">
        <v>3</v>
      </c>
      <c r="M107" s="28" t="s">
        <v>310</v>
      </c>
      <c r="N107" s="29">
        <f>_xlfn.IFNA(VLOOKUP(Sales[customer_id],Cust[],11,FALSE),"Unknown")</f>
        <v>100000</v>
      </c>
      <c r="O107" s="29" t="str">
        <f>_xlfn.IFNA(VLOOKUP(Sales[customer_id], Cust[], 7,FALSE),"Unknown customer")</f>
        <v>Ibadan</v>
      </c>
      <c r="P107" s="29" t="str">
        <f>_xlfn.IFNA(VLOOKUP(Sales[[#This Row],[customer_id]],Cust[],4, FALSE),"Unknown customer")</f>
        <v>Blessing Nnamdi</v>
      </c>
      <c r="Q107" s="29" t="str">
        <f>_xlfn.IFNA(VLOOKUP(Sales[[#This Row],[customer_id]], Cust[], 10, FALSE), "Unknown customer")</f>
        <v>Retail</v>
      </c>
      <c r="R107" s="29">
        <f>SUM(Sales[quantity]*Sales[[#This Row],[unit_price_ngn]]*(1-Sales[[#This Row],[discount_pct]]))</f>
        <v>27500</v>
      </c>
      <c r="S107" s="29">
        <f>Sales[[#This Row],[revenue]]-(Sales[[#This Row],[quantity]]*Sales[[#This Row],[unit_cost_ngn]])</f>
        <v>11000</v>
      </c>
      <c r="T107" s="41" t="str">
        <f>TEXT(Sales[order_date], "yyyy-mm")</f>
        <v>2025-05</v>
      </c>
    </row>
    <row r="108" spans="1:20" ht="15" customHeight="1" x14ac:dyDescent="0.25">
      <c r="A108" s="10" t="s">
        <v>315</v>
      </c>
      <c r="B108" s="11">
        <v>45807</v>
      </c>
      <c r="C108" s="10" t="s">
        <v>39</v>
      </c>
      <c r="D108" s="10" t="s">
        <v>40</v>
      </c>
      <c r="E108" s="10" t="s">
        <v>75</v>
      </c>
      <c r="F108" s="10" t="s">
        <v>69</v>
      </c>
      <c r="G108" s="10" t="s">
        <v>66</v>
      </c>
      <c r="H108" s="10">
        <v>1</v>
      </c>
      <c r="I108" s="10">
        <v>32000</v>
      </c>
      <c r="J108" s="10">
        <v>21000</v>
      </c>
      <c r="K108" s="12">
        <v>0</v>
      </c>
      <c r="L108" s="10">
        <v>1</v>
      </c>
      <c r="M108" s="28" t="s">
        <v>316</v>
      </c>
      <c r="N108" s="29">
        <f>_xlfn.IFNA(VLOOKUP(Sales[customer_id],Cust[],11,FALSE),"Unknown")</f>
        <v>100000</v>
      </c>
      <c r="O108" s="29" t="str">
        <f>_xlfn.IFNA(VLOOKUP(Sales[customer_id], Cust[], 7,FALSE),"Unknown customer")</f>
        <v>Ibadan</v>
      </c>
      <c r="P108" s="29" t="str">
        <f>_xlfn.IFNA(VLOOKUP(Sales[[#This Row],[customer_id]],Cust[],4, FALSE),"Unknown customer")</f>
        <v>Aisha Okafor</v>
      </c>
      <c r="Q108" s="29" t="str">
        <f>_xlfn.IFNA(VLOOKUP(Sales[[#This Row],[customer_id]], Cust[], 10, FALSE), "Unknown customer")</f>
        <v>Corporate</v>
      </c>
      <c r="R108" s="29">
        <f>SUM(Sales[quantity]*Sales[[#This Row],[unit_price_ngn]]*(1-Sales[[#This Row],[discount_pct]]))</f>
        <v>32000</v>
      </c>
      <c r="S108" s="29">
        <f>Sales[[#This Row],[revenue]]-(Sales[[#This Row],[quantity]]*Sales[[#This Row],[unit_cost_ngn]])</f>
        <v>11000</v>
      </c>
      <c r="T108" s="41" t="str">
        <f>TEXT(Sales[order_date], "yyyy-mm")</f>
        <v>2025-05</v>
      </c>
    </row>
    <row r="109" spans="1:20" ht="15" customHeight="1" x14ac:dyDescent="0.25">
      <c r="A109" s="10" t="s">
        <v>335</v>
      </c>
      <c r="B109" s="11">
        <v>45817</v>
      </c>
      <c r="C109" s="10" t="s">
        <v>39</v>
      </c>
      <c r="D109" s="10" t="s">
        <v>40</v>
      </c>
      <c r="E109" s="10" t="s">
        <v>75</v>
      </c>
      <c r="F109" s="10" t="s">
        <v>69</v>
      </c>
      <c r="G109" s="10" t="s">
        <v>66</v>
      </c>
      <c r="H109" s="10">
        <v>2</v>
      </c>
      <c r="I109" s="10">
        <v>32000</v>
      </c>
      <c r="J109" s="10">
        <v>21000</v>
      </c>
      <c r="K109" s="12">
        <v>0</v>
      </c>
      <c r="L109" s="10">
        <v>1</v>
      </c>
      <c r="M109" s="28" t="s">
        <v>237</v>
      </c>
      <c r="N109" s="29">
        <f>_xlfn.IFNA(VLOOKUP(Sales[customer_id],Cust[],11,FALSE),"Unknown")</f>
        <v>50000</v>
      </c>
      <c r="O109" s="29" t="str">
        <f>_xlfn.IFNA(VLOOKUP(Sales[customer_id], Cust[], 7,FALSE),"Unknown customer")</f>
        <v>Ibadan</v>
      </c>
      <c r="P109" s="29" t="str">
        <f>_xlfn.IFNA(VLOOKUP(Sales[[#This Row],[customer_id]],Cust[],4, FALSE),"Unknown customer")</f>
        <v>Obinna Oyelaran</v>
      </c>
      <c r="Q109" s="29" t="str">
        <f>_xlfn.IFNA(VLOOKUP(Sales[[#This Row],[customer_id]], Cust[], 10, FALSE), "Unknown customer")</f>
        <v>Retail</v>
      </c>
      <c r="R109" s="29">
        <f>SUM(Sales[quantity]*Sales[[#This Row],[unit_price_ngn]]*(1-Sales[[#This Row],[discount_pct]]))</f>
        <v>64000</v>
      </c>
      <c r="S109" s="29">
        <f>Sales[[#This Row],[revenue]]-(Sales[[#This Row],[quantity]]*Sales[[#This Row],[unit_cost_ngn]])</f>
        <v>22000</v>
      </c>
      <c r="T109" s="41" t="str">
        <f>TEXT(Sales[order_date], "yyyy-mm")</f>
        <v>2025-06</v>
      </c>
    </row>
    <row r="110" spans="1:20" ht="15" customHeight="1" x14ac:dyDescent="0.25">
      <c r="A110" s="10" t="s">
        <v>336</v>
      </c>
      <c r="B110" s="11">
        <v>45818</v>
      </c>
      <c r="C110" s="10" t="s">
        <v>39</v>
      </c>
      <c r="D110" s="10" t="s">
        <v>40</v>
      </c>
      <c r="E110" s="10" t="s">
        <v>45</v>
      </c>
      <c r="F110" s="10" t="s">
        <v>57</v>
      </c>
      <c r="G110" s="10" t="s">
        <v>51</v>
      </c>
      <c r="H110" s="10">
        <v>4</v>
      </c>
      <c r="I110" s="10">
        <v>27500</v>
      </c>
      <c r="J110" s="10">
        <v>16500</v>
      </c>
      <c r="K110" s="12">
        <v>0</v>
      </c>
      <c r="L110" s="10">
        <v>3</v>
      </c>
      <c r="M110" s="28" t="s">
        <v>245</v>
      </c>
      <c r="N110" s="29">
        <f>_xlfn.IFNA(VLOOKUP(Sales[customer_id],Cust[],11,FALSE),"Unknown")</f>
        <v>150000</v>
      </c>
      <c r="O110" s="29" t="str">
        <f>_xlfn.IFNA(VLOOKUP(Sales[customer_id], Cust[], 7,FALSE),"Unknown customer")</f>
        <v>Ibadan</v>
      </c>
      <c r="P110" s="29" t="str">
        <f>_xlfn.IFNA(VLOOKUP(Sales[[#This Row],[customer_id]],Cust[],4, FALSE),"Unknown customer")</f>
        <v>Maryam Fashola</v>
      </c>
      <c r="Q110" s="29" t="str">
        <f>_xlfn.IFNA(VLOOKUP(Sales[[#This Row],[customer_id]], Cust[], 10, FALSE), "Unknown customer")</f>
        <v>Retail</v>
      </c>
      <c r="R110" s="29">
        <f>SUM(Sales[quantity]*Sales[[#This Row],[unit_price_ngn]]*(1-Sales[[#This Row],[discount_pct]]))</f>
        <v>110000</v>
      </c>
      <c r="S110" s="29">
        <f>Sales[[#This Row],[revenue]]-(Sales[[#This Row],[quantity]]*Sales[[#This Row],[unit_cost_ngn]])</f>
        <v>44000</v>
      </c>
      <c r="T110" s="41" t="str">
        <f>TEXT(Sales[order_date], "yyyy-mm")</f>
        <v>2025-06</v>
      </c>
    </row>
    <row r="111" spans="1:20" ht="15" customHeight="1" x14ac:dyDescent="0.25">
      <c r="A111" s="10" t="s">
        <v>340</v>
      </c>
      <c r="B111" s="11">
        <v>45821</v>
      </c>
      <c r="C111" s="10" t="s">
        <v>39</v>
      </c>
      <c r="D111" s="10" t="s">
        <v>40</v>
      </c>
      <c r="E111" s="10" t="s">
        <v>75</v>
      </c>
      <c r="F111" s="10" t="s">
        <v>72</v>
      </c>
      <c r="G111" s="10" t="s">
        <v>47</v>
      </c>
      <c r="H111" s="10">
        <v>1</v>
      </c>
      <c r="I111" s="10">
        <v>46000</v>
      </c>
      <c r="J111" s="10">
        <v>39000</v>
      </c>
      <c r="K111" s="12">
        <v>0</v>
      </c>
      <c r="L111" s="10">
        <v>2</v>
      </c>
      <c r="M111" s="28" t="s">
        <v>237</v>
      </c>
      <c r="N111" s="29">
        <f>_xlfn.IFNA(VLOOKUP(Sales[customer_id],Cust[],11,FALSE),"Unknown")</f>
        <v>50000</v>
      </c>
      <c r="O111" s="29" t="str">
        <f>_xlfn.IFNA(VLOOKUP(Sales[customer_id], Cust[], 7,FALSE),"Unknown customer")</f>
        <v>Ibadan</v>
      </c>
      <c r="P111" s="29" t="str">
        <f>_xlfn.IFNA(VLOOKUP(Sales[[#This Row],[customer_id]],Cust[],4, FALSE),"Unknown customer")</f>
        <v>Obinna Oyelaran</v>
      </c>
      <c r="Q111" s="29" t="str">
        <f>_xlfn.IFNA(VLOOKUP(Sales[[#This Row],[customer_id]], Cust[], 10, FALSE), "Unknown customer")</f>
        <v>Retail</v>
      </c>
      <c r="R111" s="29">
        <f>SUM(Sales[quantity]*Sales[[#This Row],[unit_price_ngn]]*(1-Sales[[#This Row],[discount_pct]]))</f>
        <v>46000</v>
      </c>
      <c r="S111" s="29">
        <f>Sales[[#This Row],[revenue]]-(Sales[[#This Row],[quantity]]*Sales[[#This Row],[unit_cost_ngn]])</f>
        <v>7000</v>
      </c>
      <c r="T111" s="41" t="str">
        <f>TEXT(Sales[order_date], "yyyy-mm")</f>
        <v>2025-06</v>
      </c>
    </row>
    <row r="112" spans="1:20" ht="15" customHeight="1" x14ac:dyDescent="0.25">
      <c r="A112" s="10" t="s">
        <v>358</v>
      </c>
      <c r="B112" s="11">
        <v>45832</v>
      </c>
      <c r="C112" s="10" t="s">
        <v>39</v>
      </c>
      <c r="D112" s="10" t="s">
        <v>40</v>
      </c>
      <c r="E112" s="10" t="s">
        <v>34</v>
      </c>
      <c r="F112" s="10" t="s">
        <v>78</v>
      </c>
      <c r="G112" s="10" t="s">
        <v>36</v>
      </c>
      <c r="H112" s="10">
        <v>3</v>
      </c>
      <c r="I112" s="10">
        <v>22000</v>
      </c>
      <c r="J112" s="10">
        <v>13800</v>
      </c>
      <c r="K112" s="12">
        <v>0</v>
      </c>
      <c r="L112" s="10">
        <v>1</v>
      </c>
      <c r="M112" s="28" t="s">
        <v>102</v>
      </c>
      <c r="N112" s="29">
        <f>_xlfn.IFNA(VLOOKUP(Sales[customer_id],Cust[],11,FALSE),"Unknown")</f>
        <v>50000</v>
      </c>
      <c r="O112" s="29" t="str">
        <f>_xlfn.IFNA(VLOOKUP(Sales[customer_id], Cust[], 7,FALSE),"Unknown customer")</f>
        <v>Ibadan</v>
      </c>
      <c r="P112" s="29" t="str">
        <f>_xlfn.IFNA(VLOOKUP(Sales[[#This Row],[customer_id]],Cust[],4, FALSE),"Unknown customer")</f>
        <v>Jide Umeh</v>
      </c>
      <c r="Q112" s="29" t="str">
        <f>_xlfn.IFNA(VLOOKUP(Sales[[#This Row],[customer_id]], Cust[], 10, FALSE), "Unknown customer")</f>
        <v>Wholesale</v>
      </c>
      <c r="R112" s="29">
        <f>SUM(Sales[quantity]*Sales[[#This Row],[unit_price_ngn]]*(1-Sales[[#This Row],[discount_pct]]))</f>
        <v>66000</v>
      </c>
      <c r="S112" s="29">
        <f>Sales[[#This Row],[revenue]]-(Sales[[#This Row],[quantity]]*Sales[[#This Row],[unit_cost_ngn]])</f>
        <v>24600</v>
      </c>
      <c r="T112" s="41" t="str">
        <f>TEXT(Sales[order_date], "yyyy-mm")</f>
        <v>2025-06</v>
      </c>
    </row>
    <row r="113" spans="1:20" ht="15" customHeight="1" x14ac:dyDescent="0.25">
      <c r="A113" s="10" t="s">
        <v>361</v>
      </c>
      <c r="B113" s="11">
        <v>45836</v>
      </c>
      <c r="C113" s="10" t="s">
        <v>39</v>
      </c>
      <c r="D113" s="10" t="s">
        <v>40</v>
      </c>
      <c r="E113" s="10" t="s">
        <v>56</v>
      </c>
      <c r="F113" s="10" t="s">
        <v>101</v>
      </c>
      <c r="G113" s="10" t="s">
        <v>61</v>
      </c>
      <c r="H113" s="10">
        <v>10</v>
      </c>
      <c r="I113" s="10">
        <v>28000</v>
      </c>
      <c r="J113" s="10">
        <v>18500</v>
      </c>
      <c r="K113" s="12">
        <v>0</v>
      </c>
      <c r="L113" s="10">
        <v>10</v>
      </c>
      <c r="M113" s="28" t="s">
        <v>316</v>
      </c>
      <c r="N113" s="29">
        <f>_xlfn.IFNA(VLOOKUP(Sales[customer_id],Cust[],11,FALSE),"Unknown")</f>
        <v>100000</v>
      </c>
      <c r="O113" s="29" t="str">
        <f>_xlfn.IFNA(VLOOKUP(Sales[customer_id], Cust[], 7,FALSE),"Unknown customer")</f>
        <v>Ibadan</v>
      </c>
      <c r="P113" s="29" t="str">
        <f>_xlfn.IFNA(VLOOKUP(Sales[[#This Row],[customer_id]],Cust[],4, FALSE),"Unknown customer")</f>
        <v>Aisha Okafor</v>
      </c>
      <c r="Q113" s="29" t="str">
        <f>_xlfn.IFNA(VLOOKUP(Sales[[#This Row],[customer_id]], Cust[], 10, FALSE), "Unknown customer")</f>
        <v>Corporate</v>
      </c>
      <c r="R113" s="29">
        <f>SUM(Sales[quantity]*Sales[[#This Row],[unit_price_ngn]]*(1-Sales[[#This Row],[discount_pct]]))</f>
        <v>280000</v>
      </c>
      <c r="S113" s="29">
        <f>Sales[[#This Row],[revenue]]-(Sales[[#This Row],[quantity]]*Sales[[#This Row],[unit_cost_ngn]])</f>
        <v>95000</v>
      </c>
      <c r="T113" s="41" t="str">
        <f>TEXT(Sales[order_date], "yyyy-mm")</f>
        <v>2025-06</v>
      </c>
    </row>
    <row r="114" spans="1:20" ht="15" customHeight="1" x14ac:dyDescent="0.25">
      <c r="A114" s="10" t="s">
        <v>365</v>
      </c>
      <c r="B114" s="11">
        <v>45836</v>
      </c>
      <c r="C114" s="10" t="s">
        <v>39</v>
      </c>
      <c r="D114" s="10" t="s">
        <v>40</v>
      </c>
      <c r="E114" s="10" t="s">
        <v>34</v>
      </c>
      <c r="F114" s="10" t="s">
        <v>101</v>
      </c>
      <c r="G114" s="10" t="s">
        <v>61</v>
      </c>
      <c r="H114" s="10">
        <v>3</v>
      </c>
      <c r="I114" s="10">
        <v>28000</v>
      </c>
      <c r="J114" s="10">
        <v>18500</v>
      </c>
      <c r="K114" s="12">
        <v>0.1</v>
      </c>
      <c r="L114" s="10">
        <v>4</v>
      </c>
      <c r="M114" s="28" t="s">
        <v>125</v>
      </c>
      <c r="N114" s="29">
        <f>_xlfn.IFNA(VLOOKUP(Sales[customer_id],Cust[],11,FALSE),"Unknown")</f>
        <v>100000</v>
      </c>
      <c r="O114" s="29" t="str">
        <f>_xlfn.IFNA(VLOOKUP(Sales[customer_id], Cust[], 7,FALSE),"Unknown customer")</f>
        <v>Ibadan</v>
      </c>
      <c r="P114" s="29" t="str">
        <f>_xlfn.IFNA(VLOOKUP(Sales[[#This Row],[customer_id]],Cust[],4, FALSE),"Unknown customer")</f>
        <v>Uche Chukwu</v>
      </c>
      <c r="Q114" s="29" t="str">
        <f>_xlfn.IFNA(VLOOKUP(Sales[[#This Row],[customer_id]], Cust[], 10, FALSE), "Unknown customer")</f>
        <v>Wholesale</v>
      </c>
      <c r="R114" s="29">
        <f>SUM(Sales[quantity]*Sales[[#This Row],[unit_price_ngn]]*(1-Sales[[#This Row],[discount_pct]]))</f>
        <v>75600</v>
      </c>
      <c r="S114" s="29">
        <f>Sales[[#This Row],[revenue]]-(Sales[[#This Row],[quantity]]*Sales[[#This Row],[unit_cost_ngn]])</f>
        <v>20100</v>
      </c>
      <c r="T114" s="41" t="str">
        <f>TEXT(Sales[order_date], "yyyy-mm")</f>
        <v>2025-06</v>
      </c>
    </row>
    <row r="115" spans="1:20" ht="15" customHeight="1" x14ac:dyDescent="0.25">
      <c r="A115" s="10" t="s">
        <v>371</v>
      </c>
      <c r="B115" s="11">
        <v>45840</v>
      </c>
      <c r="C115" s="10" t="s">
        <v>39</v>
      </c>
      <c r="D115" s="10" t="s">
        <v>40</v>
      </c>
      <c r="E115" s="10" t="s">
        <v>45</v>
      </c>
      <c r="F115" s="10" t="s">
        <v>60</v>
      </c>
      <c r="G115" s="10" t="s">
        <v>61</v>
      </c>
      <c r="H115" s="10">
        <v>3</v>
      </c>
      <c r="I115" s="10">
        <v>12000</v>
      </c>
      <c r="J115" s="10">
        <v>7200</v>
      </c>
      <c r="K115" s="12">
        <v>0</v>
      </c>
      <c r="L115" s="10">
        <v>3</v>
      </c>
      <c r="M115" s="28" t="s">
        <v>245</v>
      </c>
      <c r="N115" s="29">
        <f>_xlfn.IFNA(VLOOKUP(Sales[customer_id],Cust[],11,FALSE),"Unknown")</f>
        <v>150000</v>
      </c>
      <c r="O115" s="29" t="str">
        <f>_xlfn.IFNA(VLOOKUP(Sales[customer_id], Cust[], 7,FALSE),"Unknown customer")</f>
        <v>Ibadan</v>
      </c>
      <c r="P115" s="29" t="str">
        <f>_xlfn.IFNA(VLOOKUP(Sales[[#This Row],[customer_id]],Cust[],4, FALSE),"Unknown customer")</f>
        <v>Maryam Fashola</v>
      </c>
      <c r="Q115" s="29" t="str">
        <f>_xlfn.IFNA(VLOOKUP(Sales[[#This Row],[customer_id]], Cust[], 10, FALSE), "Unknown customer")</f>
        <v>Retail</v>
      </c>
      <c r="R115" s="29">
        <f>SUM(Sales[quantity]*Sales[[#This Row],[unit_price_ngn]]*(1-Sales[[#This Row],[discount_pct]]))</f>
        <v>36000</v>
      </c>
      <c r="S115" s="29">
        <f>Sales[[#This Row],[revenue]]-(Sales[[#This Row],[quantity]]*Sales[[#This Row],[unit_cost_ngn]])</f>
        <v>14400</v>
      </c>
      <c r="T115" s="41" t="str">
        <f>TEXT(Sales[order_date], "yyyy-mm")</f>
        <v>2025-07</v>
      </c>
    </row>
    <row r="116" spans="1:20" ht="15" customHeight="1" x14ac:dyDescent="0.25">
      <c r="A116" s="10" t="s">
        <v>372</v>
      </c>
      <c r="B116" s="11">
        <v>45840</v>
      </c>
      <c r="C116" s="10" t="s">
        <v>39</v>
      </c>
      <c r="D116" s="10" t="s">
        <v>40</v>
      </c>
      <c r="E116" s="10" t="s">
        <v>45</v>
      </c>
      <c r="F116" s="10" t="s">
        <v>60</v>
      </c>
      <c r="G116" s="10" t="s">
        <v>61</v>
      </c>
      <c r="H116" s="10">
        <v>1</v>
      </c>
      <c r="I116" s="10">
        <v>12000</v>
      </c>
      <c r="J116" s="10">
        <v>7200</v>
      </c>
      <c r="K116" s="12">
        <v>0</v>
      </c>
      <c r="L116" s="10">
        <v>2</v>
      </c>
      <c r="M116" s="28" t="s">
        <v>373</v>
      </c>
      <c r="N116" s="29">
        <f>_xlfn.IFNA(VLOOKUP(Sales[customer_id],Cust[],11,FALSE),"Unknown")</f>
        <v>500000</v>
      </c>
      <c r="O116" s="29" t="str">
        <f>_xlfn.IFNA(VLOOKUP(Sales[customer_id], Cust[], 7,FALSE),"Unknown customer")</f>
        <v>Ibadan</v>
      </c>
      <c r="P116" s="29" t="str">
        <f>_xlfn.IFNA(VLOOKUP(Sales[[#This Row],[customer_id]],Cust[],4, FALSE),"Unknown customer")</f>
        <v>Chidi Nwosu</v>
      </c>
      <c r="Q116" s="29" t="str">
        <f>_xlfn.IFNA(VLOOKUP(Sales[[#This Row],[customer_id]], Cust[], 10, FALSE), "Unknown customer")</f>
        <v>Retail</v>
      </c>
      <c r="R116" s="29">
        <f>SUM(Sales[quantity]*Sales[[#This Row],[unit_price_ngn]]*(1-Sales[[#This Row],[discount_pct]]))</f>
        <v>12000</v>
      </c>
      <c r="S116" s="29">
        <f>Sales[[#This Row],[revenue]]-(Sales[[#This Row],[quantity]]*Sales[[#This Row],[unit_cost_ngn]])</f>
        <v>4800</v>
      </c>
      <c r="T116" s="41" t="str">
        <f>TEXT(Sales[order_date], "yyyy-mm")</f>
        <v>2025-07</v>
      </c>
    </row>
    <row r="117" spans="1:20" ht="15" customHeight="1" x14ac:dyDescent="0.25">
      <c r="A117" s="10" t="s">
        <v>376</v>
      </c>
      <c r="B117" s="11">
        <v>45842</v>
      </c>
      <c r="C117" s="10" t="s">
        <v>39</v>
      </c>
      <c r="D117" s="10" t="s">
        <v>40</v>
      </c>
      <c r="E117" s="10" t="s">
        <v>75</v>
      </c>
      <c r="F117" s="10" t="s">
        <v>60</v>
      </c>
      <c r="G117" s="10" t="s">
        <v>61</v>
      </c>
      <c r="H117" s="10">
        <v>5</v>
      </c>
      <c r="I117" s="10">
        <v>12000</v>
      </c>
      <c r="J117" s="10">
        <v>7200</v>
      </c>
      <c r="K117" s="12">
        <v>0</v>
      </c>
      <c r="L117" s="10">
        <v>4</v>
      </c>
      <c r="M117" s="28" t="s">
        <v>125</v>
      </c>
      <c r="N117" s="29">
        <f>_xlfn.IFNA(VLOOKUP(Sales[customer_id],Cust[],11,FALSE),"Unknown")</f>
        <v>100000</v>
      </c>
      <c r="O117" s="29" t="str">
        <f>_xlfn.IFNA(VLOOKUP(Sales[customer_id], Cust[], 7,FALSE),"Unknown customer")</f>
        <v>Ibadan</v>
      </c>
      <c r="P117" s="29" t="str">
        <f>_xlfn.IFNA(VLOOKUP(Sales[[#This Row],[customer_id]],Cust[],4, FALSE),"Unknown customer")</f>
        <v>Uche Chukwu</v>
      </c>
      <c r="Q117" s="29" t="str">
        <f>_xlfn.IFNA(VLOOKUP(Sales[[#This Row],[customer_id]], Cust[], 10, FALSE), "Unknown customer")</f>
        <v>Wholesale</v>
      </c>
      <c r="R117" s="29">
        <f>SUM(Sales[quantity]*Sales[[#This Row],[unit_price_ngn]]*(1-Sales[[#This Row],[discount_pct]]))</f>
        <v>60000</v>
      </c>
      <c r="S117" s="29">
        <f>Sales[[#This Row],[revenue]]-(Sales[[#This Row],[quantity]]*Sales[[#This Row],[unit_cost_ngn]])</f>
        <v>24000</v>
      </c>
      <c r="T117" s="41" t="str">
        <f>TEXT(Sales[order_date], "yyyy-mm")</f>
        <v>2025-07</v>
      </c>
    </row>
    <row r="118" spans="1:20" ht="15" customHeight="1" x14ac:dyDescent="0.25">
      <c r="A118" s="10" t="s">
        <v>380</v>
      </c>
      <c r="B118" s="11">
        <v>45847</v>
      </c>
      <c r="C118" s="10" t="s">
        <v>39</v>
      </c>
      <c r="D118" s="10" t="s">
        <v>40</v>
      </c>
      <c r="E118" s="10" t="s">
        <v>75</v>
      </c>
      <c r="F118" s="10" t="s">
        <v>72</v>
      </c>
      <c r="G118" s="10" t="s">
        <v>47</v>
      </c>
      <c r="H118" s="10">
        <v>2</v>
      </c>
      <c r="I118" s="10">
        <v>46000</v>
      </c>
      <c r="J118" s="10">
        <v>39000</v>
      </c>
      <c r="K118" s="12">
        <v>0.05</v>
      </c>
      <c r="L118" s="10">
        <v>4</v>
      </c>
      <c r="M118" s="28" t="s">
        <v>316</v>
      </c>
      <c r="N118" s="29">
        <f>_xlfn.IFNA(VLOOKUP(Sales[customer_id],Cust[],11,FALSE),"Unknown")</f>
        <v>100000</v>
      </c>
      <c r="O118" s="29" t="str">
        <f>_xlfn.IFNA(VLOOKUP(Sales[customer_id], Cust[], 7,FALSE),"Unknown customer")</f>
        <v>Ibadan</v>
      </c>
      <c r="P118" s="29" t="str">
        <f>_xlfn.IFNA(VLOOKUP(Sales[[#This Row],[customer_id]],Cust[],4, FALSE),"Unknown customer")</f>
        <v>Aisha Okafor</v>
      </c>
      <c r="Q118" s="29" t="str">
        <f>_xlfn.IFNA(VLOOKUP(Sales[[#This Row],[customer_id]], Cust[], 10, FALSE), "Unknown customer")</f>
        <v>Corporate</v>
      </c>
      <c r="R118" s="29">
        <f>SUM(Sales[quantity]*Sales[[#This Row],[unit_price_ngn]]*(1-Sales[[#This Row],[discount_pct]]))</f>
        <v>87400</v>
      </c>
      <c r="S118" s="29">
        <f>Sales[[#This Row],[revenue]]-(Sales[[#This Row],[quantity]]*Sales[[#This Row],[unit_cost_ngn]])</f>
        <v>9400</v>
      </c>
      <c r="T118" s="41" t="str">
        <f>TEXT(Sales[order_date], "yyyy-mm")</f>
        <v>2025-07</v>
      </c>
    </row>
    <row r="119" spans="1:20" ht="15" customHeight="1" x14ac:dyDescent="0.25">
      <c r="A119" s="10" t="s">
        <v>382</v>
      </c>
      <c r="B119" s="11">
        <v>45848</v>
      </c>
      <c r="C119" s="10" t="s">
        <v>39</v>
      </c>
      <c r="D119" s="10" t="s">
        <v>40</v>
      </c>
      <c r="E119" s="10" t="s">
        <v>56</v>
      </c>
      <c r="F119" s="10" t="s">
        <v>60</v>
      </c>
      <c r="G119" s="10" t="s">
        <v>61</v>
      </c>
      <c r="H119" s="10">
        <v>1</v>
      </c>
      <c r="I119" s="10">
        <v>12000</v>
      </c>
      <c r="J119" s="10">
        <v>7200</v>
      </c>
      <c r="K119" s="12">
        <v>0.05</v>
      </c>
      <c r="L119" s="10">
        <v>1</v>
      </c>
      <c r="M119" s="28" t="s">
        <v>240</v>
      </c>
      <c r="N119" s="29">
        <f>_xlfn.IFNA(VLOOKUP(Sales[customer_id],Cust[],11,FALSE),"Unknown")</f>
        <v>150000</v>
      </c>
      <c r="O119" s="29" t="str">
        <f>_xlfn.IFNA(VLOOKUP(Sales[customer_id], Cust[], 7,FALSE),"Unknown customer")</f>
        <v>Ibadan</v>
      </c>
      <c r="P119" s="29" t="str">
        <f>_xlfn.IFNA(VLOOKUP(Sales[[#This Row],[customer_id]],Cust[],4, FALSE),"Unknown customer")</f>
        <v>Femi Umeh</v>
      </c>
      <c r="Q119" s="29" t="str">
        <f>_xlfn.IFNA(VLOOKUP(Sales[[#This Row],[customer_id]], Cust[], 10, FALSE), "Unknown customer")</f>
        <v>Corporate</v>
      </c>
      <c r="R119" s="29">
        <f>SUM(Sales[quantity]*Sales[[#This Row],[unit_price_ngn]]*(1-Sales[[#This Row],[discount_pct]]))</f>
        <v>11400</v>
      </c>
      <c r="S119" s="29">
        <f>Sales[[#This Row],[revenue]]-(Sales[[#This Row],[quantity]]*Sales[[#This Row],[unit_cost_ngn]])</f>
        <v>4200</v>
      </c>
      <c r="T119" s="41" t="str">
        <f>TEXT(Sales[order_date], "yyyy-mm")</f>
        <v>2025-07</v>
      </c>
    </row>
    <row r="120" spans="1:20" ht="15" customHeight="1" x14ac:dyDescent="0.25">
      <c r="A120" s="10" t="s">
        <v>387</v>
      </c>
      <c r="B120" s="11">
        <v>45853</v>
      </c>
      <c r="C120" s="10" t="s">
        <v>39</v>
      </c>
      <c r="D120" s="10" t="s">
        <v>40</v>
      </c>
      <c r="E120" s="10" t="s">
        <v>75</v>
      </c>
      <c r="F120" s="10" t="s">
        <v>101</v>
      </c>
      <c r="G120" s="10" t="s">
        <v>61</v>
      </c>
      <c r="H120" s="10">
        <v>1</v>
      </c>
      <c r="I120" s="10">
        <v>28000</v>
      </c>
      <c r="J120" s="10">
        <v>18500</v>
      </c>
      <c r="K120" s="12">
        <v>0</v>
      </c>
      <c r="L120" s="10">
        <v>4</v>
      </c>
      <c r="M120" s="28" t="s">
        <v>210</v>
      </c>
      <c r="N120" s="29">
        <f>_xlfn.IFNA(VLOOKUP(Sales[customer_id],Cust[],11,FALSE),"Unknown")</f>
        <v>250000</v>
      </c>
      <c r="O120" s="29" t="str">
        <f>_xlfn.IFNA(VLOOKUP(Sales[customer_id], Cust[], 7,FALSE),"Unknown customer")</f>
        <v>Ibadan</v>
      </c>
      <c r="P120" s="29" t="str">
        <f>_xlfn.IFNA(VLOOKUP(Sales[[#This Row],[customer_id]],Cust[],4, FALSE),"Unknown customer")</f>
        <v>Tunde Mohammed</v>
      </c>
      <c r="Q120" s="29" t="str">
        <f>_xlfn.IFNA(VLOOKUP(Sales[[#This Row],[customer_id]], Cust[], 10, FALSE), "Unknown customer")</f>
        <v>Retail</v>
      </c>
      <c r="R120" s="29">
        <f>SUM(Sales[quantity]*Sales[[#This Row],[unit_price_ngn]]*(1-Sales[[#This Row],[discount_pct]]))</f>
        <v>28000</v>
      </c>
      <c r="S120" s="29">
        <f>Sales[[#This Row],[revenue]]-(Sales[[#This Row],[quantity]]*Sales[[#This Row],[unit_cost_ngn]])</f>
        <v>9500</v>
      </c>
      <c r="T120" s="41" t="str">
        <f>TEXT(Sales[order_date], "yyyy-mm")</f>
        <v>2025-07</v>
      </c>
    </row>
    <row r="121" spans="1:20" ht="15" customHeight="1" x14ac:dyDescent="0.25">
      <c r="A121" s="10" t="s">
        <v>398</v>
      </c>
      <c r="B121" s="11">
        <v>45862</v>
      </c>
      <c r="C121" s="10" t="s">
        <v>39</v>
      </c>
      <c r="D121" s="10" t="s">
        <v>40</v>
      </c>
      <c r="E121" s="10" t="s">
        <v>75</v>
      </c>
      <c r="F121" s="10" t="s">
        <v>101</v>
      </c>
      <c r="G121" s="10" t="s">
        <v>61</v>
      </c>
      <c r="H121" s="10">
        <v>2</v>
      </c>
      <c r="I121" s="10">
        <v>28000</v>
      </c>
      <c r="J121" s="10">
        <v>18500</v>
      </c>
      <c r="K121" s="12">
        <v>0</v>
      </c>
      <c r="L121" s="10">
        <v>2</v>
      </c>
      <c r="M121" s="28" t="s">
        <v>399</v>
      </c>
      <c r="N121" s="29">
        <f>_xlfn.IFNA(VLOOKUP(Sales[customer_id],Cust[],11,FALSE),"Unknown")</f>
        <v>100000</v>
      </c>
      <c r="O121" s="29" t="str">
        <f>_xlfn.IFNA(VLOOKUP(Sales[customer_id], Cust[], 7,FALSE),"Unknown customer")</f>
        <v>Ibadan</v>
      </c>
      <c r="P121" s="29" t="str">
        <f>_xlfn.IFNA(VLOOKUP(Sales[[#This Row],[customer_id]],Cust[],4, FALSE),"Unknown customer")</f>
        <v>Dayo Jibril</v>
      </c>
      <c r="Q121" s="29" t="str">
        <f>_xlfn.IFNA(VLOOKUP(Sales[[#This Row],[customer_id]], Cust[], 10, FALSE), "Unknown customer")</f>
        <v>Corporate</v>
      </c>
      <c r="R121" s="29">
        <f>SUM(Sales[quantity]*Sales[[#This Row],[unit_price_ngn]]*(1-Sales[[#This Row],[discount_pct]]))</f>
        <v>56000</v>
      </c>
      <c r="S121" s="29">
        <f>Sales[[#This Row],[revenue]]-(Sales[[#This Row],[quantity]]*Sales[[#This Row],[unit_cost_ngn]])</f>
        <v>19000</v>
      </c>
      <c r="T121" s="41" t="str">
        <f>TEXT(Sales[order_date], "yyyy-mm")</f>
        <v>2025-07</v>
      </c>
    </row>
    <row r="122" spans="1:20" ht="15" customHeight="1" x14ac:dyDescent="0.25">
      <c r="A122" s="10" t="s">
        <v>415</v>
      </c>
      <c r="B122" s="11">
        <v>45873</v>
      </c>
      <c r="C122" s="10" t="s">
        <v>39</v>
      </c>
      <c r="D122" s="10" t="s">
        <v>40</v>
      </c>
      <c r="E122" s="10" t="s">
        <v>34</v>
      </c>
      <c r="F122" s="10" t="s">
        <v>65</v>
      </c>
      <c r="G122" s="10" t="s">
        <v>66</v>
      </c>
      <c r="H122" s="10">
        <v>2</v>
      </c>
      <c r="I122" s="10">
        <v>24000</v>
      </c>
      <c r="J122" s="10">
        <v>14500</v>
      </c>
      <c r="K122" s="12">
        <v>0</v>
      </c>
      <c r="L122" s="10">
        <v>2</v>
      </c>
      <c r="M122" s="28" t="s">
        <v>107</v>
      </c>
      <c r="N122" s="29">
        <f>_xlfn.IFNA(VLOOKUP(Sales[customer_id],Cust[],11,FALSE),"Unknown")</f>
        <v>250000</v>
      </c>
      <c r="O122" s="29" t="str">
        <f>_xlfn.IFNA(VLOOKUP(Sales[customer_id], Cust[], 7,FALSE),"Unknown customer")</f>
        <v>Ibadan</v>
      </c>
      <c r="P122" s="29" t="str">
        <f>_xlfn.IFNA(VLOOKUP(Sales[[#This Row],[customer_id]],Cust[],4, FALSE),"Unknown customer")</f>
        <v>Femi Eze</v>
      </c>
      <c r="Q122" s="29" t="str">
        <f>_xlfn.IFNA(VLOOKUP(Sales[[#This Row],[customer_id]], Cust[], 10, FALSE), "Unknown customer")</f>
        <v>Corporate</v>
      </c>
      <c r="R122" s="29">
        <f>SUM(Sales[quantity]*Sales[[#This Row],[unit_price_ngn]]*(1-Sales[[#This Row],[discount_pct]]))</f>
        <v>48000</v>
      </c>
      <c r="S122" s="29">
        <f>Sales[[#This Row],[revenue]]-(Sales[[#This Row],[quantity]]*Sales[[#This Row],[unit_cost_ngn]])</f>
        <v>19000</v>
      </c>
      <c r="T122" s="41" t="str">
        <f>TEXT(Sales[order_date], "yyyy-mm")</f>
        <v>2025-08</v>
      </c>
    </row>
    <row r="123" spans="1:20" ht="15" customHeight="1" x14ac:dyDescent="0.25">
      <c r="A123" s="10" t="s">
        <v>453</v>
      </c>
      <c r="B123" s="11">
        <v>45897</v>
      </c>
      <c r="C123" s="10" t="s">
        <v>39</v>
      </c>
      <c r="D123" s="10" t="s">
        <v>40</v>
      </c>
      <c r="E123" s="10" t="s">
        <v>56</v>
      </c>
      <c r="F123" s="10" t="s">
        <v>65</v>
      </c>
      <c r="G123" s="10" t="s">
        <v>66</v>
      </c>
      <c r="H123" s="10">
        <v>1</v>
      </c>
      <c r="I123" s="10">
        <v>24000</v>
      </c>
      <c r="J123" s="10">
        <v>14500</v>
      </c>
      <c r="K123" s="12">
        <v>0</v>
      </c>
      <c r="L123" s="10">
        <v>1</v>
      </c>
      <c r="M123" s="28" t="s">
        <v>310</v>
      </c>
      <c r="N123" s="29">
        <f>_xlfn.IFNA(VLOOKUP(Sales[customer_id],Cust[],11,FALSE),"Unknown")</f>
        <v>100000</v>
      </c>
      <c r="O123" s="29" t="str">
        <f>_xlfn.IFNA(VLOOKUP(Sales[customer_id], Cust[], 7,FALSE),"Unknown customer")</f>
        <v>Ibadan</v>
      </c>
      <c r="P123" s="29" t="str">
        <f>_xlfn.IFNA(VLOOKUP(Sales[[#This Row],[customer_id]],Cust[],4, FALSE),"Unknown customer")</f>
        <v>Blessing Nnamdi</v>
      </c>
      <c r="Q123" s="29" t="str">
        <f>_xlfn.IFNA(VLOOKUP(Sales[[#This Row],[customer_id]], Cust[], 10, FALSE), "Unknown customer")</f>
        <v>Retail</v>
      </c>
      <c r="R123" s="29">
        <f>SUM(Sales[quantity]*Sales[[#This Row],[unit_price_ngn]]*(1-Sales[[#This Row],[discount_pct]]))</f>
        <v>24000</v>
      </c>
      <c r="S123" s="29">
        <f>Sales[[#This Row],[revenue]]-(Sales[[#This Row],[quantity]]*Sales[[#This Row],[unit_cost_ngn]])</f>
        <v>9500</v>
      </c>
      <c r="T123" s="41" t="str">
        <f>TEXT(Sales[order_date], "yyyy-mm")</f>
        <v>2025-08</v>
      </c>
    </row>
    <row r="124" spans="1:20" ht="15" customHeight="1" x14ac:dyDescent="0.25">
      <c r="A124" s="10" t="s">
        <v>456</v>
      </c>
      <c r="B124" s="11">
        <v>45899</v>
      </c>
      <c r="C124" s="10" t="s">
        <v>39</v>
      </c>
      <c r="D124" s="10" t="s">
        <v>40</v>
      </c>
      <c r="E124" s="10" t="s">
        <v>45</v>
      </c>
      <c r="F124" s="10" t="s">
        <v>78</v>
      </c>
      <c r="G124" s="10" t="s">
        <v>36</v>
      </c>
      <c r="H124" s="10">
        <v>4</v>
      </c>
      <c r="I124" s="10">
        <v>22000</v>
      </c>
      <c r="J124" s="10">
        <v>13800</v>
      </c>
      <c r="K124" s="12">
        <v>0</v>
      </c>
      <c r="L124" s="10">
        <v>2</v>
      </c>
      <c r="M124" s="28" t="s">
        <v>125</v>
      </c>
      <c r="N124" s="29">
        <f>_xlfn.IFNA(VLOOKUP(Sales[customer_id],Cust[],11,FALSE),"Unknown")</f>
        <v>100000</v>
      </c>
      <c r="O124" s="29" t="str">
        <f>_xlfn.IFNA(VLOOKUP(Sales[customer_id], Cust[], 7,FALSE),"Unknown customer")</f>
        <v>Ibadan</v>
      </c>
      <c r="P124" s="29" t="str">
        <f>_xlfn.IFNA(VLOOKUP(Sales[[#This Row],[customer_id]],Cust[],4, FALSE),"Unknown customer")</f>
        <v>Uche Chukwu</v>
      </c>
      <c r="Q124" s="29" t="str">
        <f>_xlfn.IFNA(VLOOKUP(Sales[[#This Row],[customer_id]], Cust[], 10, FALSE), "Unknown customer")</f>
        <v>Wholesale</v>
      </c>
      <c r="R124" s="29">
        <f>SUM(Sales[quantity]*Sales[[#This Row],[unit_price_ngn]]*(1-Sales[[#This Row],[discount_pct]]))</f>
        <v>88000</v>
      </c>
      <c r="S124" s="29">
        <f>Sales[[#This Row],[revenue]]-(Sales[[#This Row],[quantity]]*Sales[[#This Row],[unit_cost_ngn]])</f>
        <v>32800</v>
      </c>
      <c r="T124" s="41" t="str">
        <f>TEXT(Sales[order_date], "yyyy-mm")</f>
        <v>2025-08</v>
      </c>
    </row>
    <row r="125" spans="1:20" ht="15" customHeight="1" x14ac:dyDescent="0.25">
      <c r="A125" s="10" t="s">
        <v>464</v>
      </c>
      <c r="B125" s="11">
        <v>45907</v>
      </c>
      <c r="C125" s="10" t="s">
        <v>39</v>
      </c>
      <c r="D125" s="10" t="s">
        <v>40</v>
      </c>
      <c r="E125" s="10" t="s">
        <v>45</v>
      </c>
      <c r="F125" s="10" t="s">
        <v>50</v>
      </c>
      <c r="G125" s="10" t="s">
        <v>51</v>
      </c>
      <c r="H125" s="10">
        <v>3</v>
      </c>
      <c r="I125" s="10">
        <v>41000</v>
      </c>
      <c r="J125" s="10">
        <v>25000</v>
      </c>
      <c r="K125" s="12">
        <v>0</v>
      </c>
      <c r="L125" s="10">
        <v>2</v>
      </c>
      <c r="M125" s="28" t="s">
        <v>41</v>
      </c>
      <c r="N125" s="29">
        <f>_xlfn.IFNA(VLOOKUP(Sales[customer_id],Cust[],11,FALSE),"Unknown")</f>
        <v>50000</v>
      </c>
      <c r="O125" s="29" t="str">
        <f>_xlfn.IFNA(VLOOKUP(Sales[customer_id], Cust[], 7,FALSE),"Unknown customer")</f>
        <v>Ibadan</v>
      </c>
      <c r="P125" s="29" t="str">
        <f>_xlfn.IFNA(VLOOKUP(Sales[[#This Row],[customer_id]],Cust[],4, FALSE),"Unknown customer")</f>
        <v>Hauwa Eze</v>
      </c>
      <c r="Q125" s="29" t="str">
        <f>_xlfn.IFNA(VLOOKUP(Sales[[#This Row],[customer_id]], Cust[], 10, FALSE), "Unknown customer")</f>
        <v>Wholesale</v>
      </c>
      <c r="R125" s="29">
        <f>SUM(Sales[quantity]*Sales[[#This Row],[unit_price_ngn]]*(1-Sales[[#This Row],[discount_pct]]))</f>
        <v>123000</v>
      </c>
      <c r="S125" s="29">
        <f>Sales[[#This Row],[revenue]]-(Sales[[#This Row],[quantity]]*Sales[[#This Row],[unit_cost_ngn]])</f>
        <v>48000</v>
      </c>
      <c r="T125" s="41" t="str">
        <f>TEXT(Sales[order_date], "yyyy-mm")</f>
        <v>2025-09</v>
      </c>
    </row>
    <row r="126" spans="1:20" ht="15" customHeight="1" x14ac:dyDescent="0.25">
      <c r="A126" s="10" t="s">
        <v>469</v>
      </c>
      <c r="B126" s="11">
        <v>45918</v>
      </c>
      <c r="C126" s="10" t="s">
        <v>39</v>
      </c>
      <c r="D126" s="10" t="s">
        <v>40</v>
      </c>
      <c r="E126" s="10" t="s">
        <v>75</v>
      </c>
      <c r="F126" s="10" t="s">
        <v>72</v>
      </c>
      <c r="G126" s="10" t="s">
        <v>47</v>
      </c>
      <c r="H126" s="10">
        <v>5</v>
      </c>
      <c r="I126" s="10">
        <v>46000</v>
      </c>
      <c r="J126" s="10">
        <v>39000</v>
      </c>
      <c r="K126" s="12">
        <v>0</v>
      </c>
      <c r="L126" s="10">
        <v>3</v>
      </c>
      <c r="M126" s="28" t="s">
        <v>237</v>
      </c>
      <c r="N126" s="29">
        <f>_xlfn.IFNA(VLOOKUP(Sales[customer_id],Cust[],11,FALSE),"Unknown")</f>
        <v>50000</v>
      </c>
      <c r="O126" s="29" t="str">
        <f>_xlfn.IFNA(VLOOKUP(Sales[customer_id], Cust[], 7,FALSE),"Unknown customer")</f>
        <v>Ibadan</v>
      </c>
      <c r="P126" s="29" t="str">
        <f>_xlfn.IFNA(VLOOKUP(Sales[[#This Row],[customer_id]],Cust[],4, FALSE),"Unknown customer")</f>
        <v>Obinna Oyelaran</v>
      </c>
      <c r="Q126" s="29" t="str">
        <f>_xlfn.IFNA(VLOOKUP(Sales[[#This Row],[customer_id]], Cust[], 10, FALSE), "Unknown customer")</f>
        <v>Retail</v>
      </c>
      <c r="R126" s="29">
        <f>SUM(Sales[quantity]*Sales[[#This Row],[unit_price_ngn]]*(1-Sales[[#This Row],[discount_pct]]))</f>
        <v>230000</v>
      </c>
      <c r="S126" s="29">
        <f>Sales[[#This Row],[revenue]]-(Sales[[#This Row],[quantity]]*Sales[[#This Row],[unit_cost_ngn]])</f>
        <v>35000</v>
      </c>
      <c r="T126" s="41" t="str">
        <f>TEXT(Sales[order_date], "yyyy-mm")</f>
        <v>2025-09</v>
      </c>
    </row>
    <row r="127" spans="1:20" ht="15" customHeight="1" x14ac:dyDescent="0.25">
      <c r="A127" s="10" t="s">
        <v>471</v>
      </c>
      <c r="B127" s="11">
        <v>45922</v>
      </c>
      <c r="C127" s="10" t="s">
        <v>39</v>
      </c>
      <c r="D127" s="10" t="s">
        <v>40</v>
      </c>
      <c r="E127" s="10" t="s">
        <v>45</v>
      </c>
      <c r="F127" s="10" t="s">
        <v>46</v>
      </c>
      <c r="G127" s="10" t="s">
        <v>47</v>
      </c>
      <c r="H127" s="10">
        <v>10</v>
      </c>
      <c r="I127" s="10">
        <v>9800</v>
      </c>
      <c r="J127" s="10">
        <v>7600</v>
      </c>
      <c r="K127" s="12">
        <v>0</v>
      </c>
      <c r="L127" s="10">
        <v>10</v>
      </c>
      <c r="M127" s="28" t="s">
        <v>245</v>
      </c>
      <c r="N127" s="29">
        <f>_xlfn.IFNA(VLOOKUP(Sales[customer_id],Cust[],11,FALSE),"Unknown")</f>
        <v>150000</v>
      </c>
      <c r="O127" s="29" t="str">
        <f>_xlfn.IFNA(VLOOKUP(Sales[customer_id], Cust[], 7,FALSE),"Unknown customer")</f>
        <v>Ibadan</v>
      </c>
      <c r="P127" s="29" t="str">
        <f>_xlfn.IFNA(VLOOKUP(Sales[[#This Row],[customer_id]],Cust[],4, FALSE),"Unknown customer")</f>
        <v>Maryam Fashola</v>
      </c>
      <c r="Q127" s="29" t="str">
        <f>_xlfn.IFNA(VLOOKUP(Sales[[#This Row],[customer_id]], Cust[], 10, FALSE), "Unknown customer")</f>
        <v>Retail</v>
      </c>
      <c r="R127" s="29">
        <f>SUM(Sales[quantity]*Sales[[#This Row],[unit_price_ngn]]*(1-Sales[[#This Row],[discount_pct]]))</f>
        <v>98000</v>
      </c>
      <c r="S127" s="29">
        <f>Sales[[#This Row],[revenue]]-(Sales[[#This Row],[quantity]]*Sales[[#This Row],[unit_cost_ngn]])</f>
        <v>22000</v>
      </c>
      <c r="T127" s="41" t="str">
        <f>TEXT(Sales[order_date], "yyyy-mm")</f>
        <v>2025-09</v>
      </c>
    </row>
    <row r="128" spans="1:20" ht="15" customHeight="1" x14ac:dyDescent="0.25">
      <c r="A128" s="10" t="s">
        <v>473</v>
      </c>
      <c r="B128" s="11">
        <v>45928</v>
      </c>
      <c r="C128" s="10" t="s">
        <v>39</v>
      </c>
      <c r="D128" s="10" t="s">
        <v>40</v>
      </c>
      <c r="E128" s="10" t="s">
        <v>45</v>
      </c>
      <c r="F128" s="10" t="s">
        <v>46</v>
      </c>
      <c r="G128" s="10" t="s">
        <v>47</v>
      </c>
      <c r="H128" s="10">
        <v>1</v>
      </c>
      <c r="I128" s="10">
        <v>9800</v>
      </c>
      <c r="J128" s="10">
        <v>7600</v>
      </c>
      <c r="K128" s="12">
        <v>0</v>
      </c>
      <c r="L128" s="10">
        <v>10</v>
      </c>
      <c r="M128" s="28" t="s">
        <v>102</v>
      </c>
      <c r="N128" s="29">
        <f>_xlfn.IFNA(VLOOKUP(Sales[customer_id],Cust[],11,FALSE),"Unknown")</f>
        <v>50000</v>
      </c>
      <c r="O128" s="29" t="str">
        <f>_xlfn.IFNA(VLOOKUP(Sales[customer_id], Cust[], 7,FALSE),"Unknown customer")</f>
        <v>Ibadan</v>
      </c>
      <c r="P128" s="29" t="str">
        <f>_xlfn.IFNA(VLOOKUP(Sales[[#This Row],[customer_id]],Cust[],4, FALSE),"Unknown customer")</f>
        <v>Jide Umeh</v>
      </c>
      <c r="Q128" s="29" t="str">
        <f>_xlfn.IFNA(VLOOKUP(Sales[[#This Row],[customer_id]], Cust[], 10, FALSE), "Unknown customer")</f>
        <v>Wholesale</v>
      </c>
      <c r="R128" s="29">
        <f>SUM(Sales[quantity]*Sales[[#This Row],[unit_price_ngn]]*(1-Sales[[#This Row],[discount_pct]]))</f>
        <v>9800</v>
      </c>
      <c r="S128" s="29">
        <f>Sales[[#This Row],[revenue]]-(Sales[[#This Row],[quantity]]*Sales[[#This Row],[unit_cost_ngn]])</f>
        <v>2200</v>
      </c>
      <c r="T128" s="41" t="str">
        <f>TEXT(Sales[order_date], "yyyy-mm")</f>
        <v>2025-09</v>
      </c>
    </row>
    <row r="129" spans="1:20" ht="15" customHeight="1" x14ac:dyDescent="0.25">
      <c r="A129" s="10" t="s">
        <v>497</v>
      </c>
      <c r="B129" s="11">
        <v>45947</v>
      </c>
      <c r="C129" s="10" t="s">
        <v>39</v>
      </c>
      <c r="D129" s="10" t="s">
        <v>40</v>
      </c>
      <c r="E129" s="10" t="s">
        <v>56</v>
      </c>
      <c r="F129" s="10" t="s">
        <v>57</v>
      </c>
      <c r="G129" s="10" t="s">
        <v>51</v>
      </c>
      <c r="H129" s="10">
        <v>2</v>
      </c>
      <c r="I129" s="10">
        <v>27500</v>
      </c>
      <c r="J129" s="10">
        <v>16500</v>
      </c>
      <c r="K129" s="12">
        <v>0</v>
      </c>
      <c r="L129" s="10">
        <v>1</v>
      </c>
      <c r="M129" s="28" t="s">
        <v>373</v>
      </c>
      <c r="N129" s="29">
        <f>_xlfn.IFNA(VLOOKUP(Sales[customer_id],Cust[],11,FALSE),"Unknown")</f>
        <v>500000</v>
      </c>
      <c r="O129" s="29" t="str">
        <f>_xlfn.IFNA(VLOOKUP(Sales[customer_id], Cust[], 7,FALSE),"Unknown customer")</f>
        <v>Ibadan</v>
      </c>
      <c r="P129" s="29" t="str">
        <f>_xlfn.IFNA(VLOOKUP(Sales[[#This Row],[customer_id]],Cust[],4, FALSE),"Unknown customer")</f>
        <v>Chidi Nwosu</v>
      </c>
      <c r="Q129" s="29" t="str">
        <f>_xlfn.IFNA(VLOOKUP(Sales[[#This Row],[customer_id]], Cust[], 10, FALSE), "Unknown customer")</f>
        <v>Retail</v>
      </c>
      <c r="R129" s="29">
        <f>SUM(Sales[quantity]*Sales[[#This Row],[unit_price_ngn]]*(1-Sales[[#This Row],[discount_pct]]))</f>
        <v>55000</v>
      </c>
      <c r="S129" s="29">
        <f>Sales[[#This Row],[revenue]]-(Sales[[#This Row],[quantity]]*Sales[[#This Row],[unit_cost_ngn]])</f>
        <v>22000</v>
      </c>
      <c r="T129" s="41" t="str">
        <f>TEXT(Sales[order_date], "yyyy-mm")</f>
        <v>2025-10</v>
      </c>
    </row>
    <row r="130" spans="1:20" ht="15" customHeight="1" x14ac:dyDescent="0.25">
      <c r="A130" s="10" t="s">
        <v>501</v>
      </c>
      <c r="B130" s="11">
        <v>45952</v>
      </c>
      <c r="C130" s="10" t="s">
        <v>39</v>
      </c>
      <c r="D130" s="10" t="s">
        <v>40</v>
      </c>
      <c r="E130" s="10" t="s">
        <v>45</v>
      </c>
      <c r="F130" s="10" t="s">
        <v>101</v>
      </c>
      <c r="G130" s="10" t="s">
        <v>61</v>
      </c>
      <c r="H130" s="10">
        <v>1</v>
      </c>
      <c r="I130" s="10">
        <v>28000</v>
      </c>
      <c r="J130" s="10">
        <v>18500</v>
      </c>
      <c r="K130" s="12">
        <v>0.05</v>
      </c>
      <c r="L130" s="10">
        <v>4</v>
      </c>
      <c r="M130" s="28" t="s">
        <v>399</v>
      </c>
      <c r="N130" s="29">
        <f>_xlfn.IFNA(VLOOKUP(Sales[customer_id],Cust[],11,FALSE),"Unknown")</f>
        <v>100000</v>
      </c>
      <c r="O130" s="29" t="str">
        <f>_xlfn.IFNA(VLOOKUP(Sales[customer_id], Cust[], 7,FALSE),"Unknown customer")</f>
        <v>Ibadan</v>
      </c>
      <c r="P130" s="29" t="str">
        <f>_xlfn.IFNA(VLOOKUP(Sales[[#This Row],[customer_id]],Cust[],4, FALSE),"Unknown customer")</f>
        <v>Dayo Jibril</v>
      </c>
      <c r="Q130" s="29" t="str">
        <f>_xlfn.IFNA(VLOOKUP(Sales[[#This Row],[customer_id]], Cust[], 10, FALSE), "Unknown customer")</f>
        <v>Corporate</v>
      </c>
      <c r="R130" s="29">
        <f>SUM(Sales[quantity]*Sales[[#This Row],[unit_price_ngn]]*(1-Sales[[#This Row],[discount_pct]]))</f>
        <v>26600</v>
      </c>
      <c r="S130" s="29">
        <f>Sales[[#This Row],[revenue]]-(Sales[[#This Row],[quantity]]*Sales[[#This Row],[unit_cost_ngn]])</f>
        <v>8100</v>
      </c>
      <c r="T130" s="41" t="str">
        <f>TEXT(Sales[order_date], "yyyy-mm")</f>
        <v>2025-10</v>
      </c>
    </row>
    <row r="131" spans="1:20" ht="15" customHeight="1" x14ac:dyDescent="0.25">
      <c r="A131" s="10" t="s">
        <v>521</v>
      </c>
      <c r="B131" s="11">
        <v>45966</v>
      </c>
      <c r="C131" s="10" t="s">
        <v>39</v>
      </c>
      <c r="D131" s="10" t="s">
        <v>40</v>
      </c>
      <c r="E131" s="10" t="s">
        <v>34</v>
      </c>
      <c r="F131" s="10" t="s">
        <v>101</v>
      </c>
      <c r="G131" s="10" t="s">
        <v>61</v>
      </c>
      <c r="H131" s="10">
        <v>1</v>
      </c>
      <c r="I131" s="10">
        <v>28000</v>
      </c>
      <c r="J131" s="10">
        <v>18500</v>
      </c>
      <c r="K131" s="12">
        <v>0</v>
      </c>
      <c r="L131" s="10">
        <v>3</v>
      </c>
      <c r="M131" s="28" t="s">
        <v>240</v>
      </c>
      <c r="N131" s="29">
        <f>_xlfn.IFNA(VLOOKUP(Sales[customer_id],Cust[],11,FALSE),"Unknown")</f>
        <v>150000</v>
      </c>
      <c r="O131" s="29" t="str">
        <f>_xlfn.IFNA(VLOOKUP(Sales[customer_id], Cust[], 7,FALSE),"Unknown customer")</f>
        <v>Ibadan</v>
      </c>
      <c r="P131" s="29" t="str">
        <f>_xlfn.IFNA(VLOOKUP(Sales[[#This Row],[customer_id]],Cust[],4, FALSE),"Unknown customer")</f>
        <v>Femi Umeh</v>
      </c>
      <c r="Q131" s="29" t="str">
        <f>_xlfn.IFNA(VLOOKUP(Sales[[#This Row],[customer_id]], Cust[], 10, FALSE), "Unknown customer")</f>
        <v>Corporate</v>
      </c>
      <c r="R131" s="29">
        <f>SUM(Sales[quantity]*Sales[[#This Row],[unit_price_ngn]]*(1-Sales[[#This Row],[discount_pct]]))</f>
        <v>28000</v>
      </c>
      <c r="S131" s="29">
        <f>Sales[[#This Row],[revenue]]-(Sales[[#This Row],[quantity]]*Sales[[#This Row],[unit_cost_ngn]])</f>
        <v>9500</v>
      </c>
      <c r="T131" s="41" t="str">
        <f>TEXT(Sales[order_date], "yyyy-mm")</f>
        <v>2025-11</v>
      </c>
    </row>
    <row r="132" spans="1:20" ht="15" customHeight="1" x14ac:dyDescent="0.25">
      <c r="A132" s="10" t="s">
        <v>522</v>
      </c>
      <c r="B132" s="11">
        <v>45967</v>
      </c>
      <c r="C132" s="10" t="s">
        <v>39</v>
      </c>
      <c r="D132" s="10" t="s">
        <v>40</v>
      </c>
      <c r="E132" s="10" t="s">
        <v>75</v>
      </c>
      <c r="F132" s="10" t="s">
        <v>78</v>
      </c>
      <c r="G132" s="10" t="s">
        <v>36</v>
      </c>
      <c r="H132" s="10">
        <v>3</v>
      </c>
      <c r="I132" s="10">
        <v>22000</v>
      </c>
      <c r="J132" s="10">
        <v>13800</v>
      </c>
      <c r="K132" s="12">
        <v>0</v>
      </c>
      <c r="L132" s="10">
        <v>2</v>
      </c>
      <c r="M132" s="28" t="s">
        <v>41</v>
      </c>
      <c r="N132" s="29">
        <f>_xlfn.IFNA(VLOOKUP(Sales[customer_id],Cust[],11,FALSE),"Unknown")</f>
        <v>50000</v>
      </c>
      <c r="O132" s="29" t="str">
        <f>_xlfn.IFNA(VLOOKUP(Sales[customer_id], Cust[], 7,FALSE),"Unknown customer")</f>
        <v>Ibadan</v>
      </c>
      <c r="P132" s="29" t="str">
        <f>_xlfn.IFNA(VLOOKUP(Sales[[#This Row],[customer_id]],Cust[],4, FALSE),"Unknown customer")</f>
        <v>Hauwa Eze</v>
      </c>
      <c r="Q132" s="29" t="str">
        <f>_xlfn.IFNA(VLOOKUP(Sales[[#This Row],[customer_id]], Cust[], 10, FALSE), "Unknown customer")</f>
        <v>Wholesale</v>
      </c>
      <c r="R132" s="29">
        <f>SUM(Sales[quantity]*Sales[[#This Row],[unit_price_ngn]]*(1-Sales[[#This Row],[discount_pct]]))</f>
        <v>66000</v>
      </c>
      <c r="S132" s="29">
        <f>Sales[[#This Row],[revenue]]-(Sales[[#This Row],[quantity]]*Sales[[#This Row],[unit_cost_ngn]])</f>
        <v>24600</v>
      </c>
      <c r="T132" s="41" t="str">
        <f>TEXT(Sales[order_date], "yyyy-mm")</f>
        <v>2025-11</v>
      </c>
    </row>
    <row r="133" spans="1:20" ht="15" customHeight="1" x14ac:dyDescent="0.25">
      <c r="A133" s="10" t="s">
        <v>539</v>
      </c>
      <c r="B133" s="11">
        <v>45982</v>
      </c>
      <c r="C133" s="10" t="s">
        <v>39</v>
      </c>
      <c r="D133" s="10" t="s">
        <v>40</v>
      </c>
      <c r="E133" s="10" t="s">
        <v>45</v>
      </c>
      <c r="F133" s="10" t="s">
        <v>199</v>
      </c>
      <c r="G133" s="10" t="s">
        <v>36</v>
      </c>
      <c r="H133" s="10">
        <v>2</v>
      </c>
      <c r="I133" s="10">
        <v>15500</v>
      </c>
      <c r="J133" s="10">
        <v>9900</v>
      </c>
      <c r="K133" s="12">
        <v>0</v>
      </c>
      <c r="L133" s="10">
        <v>2</v>
      </c>
      <c r="M133" s="28" t="s">
        <v>118</v>
      </c>
      <c r="N133" s="29">
        <f>_xlfn.IFNA(VLOOKUP(Sales[customer_id],Cust[],11,FALSE),"Unknown")</f>
        <v>150000</v>
      </c>
      <c r="O133" s="29" t="str">
        <f>_xlfn.IFNA(VLOOKUP(Sales[customer_id], Cust[], 7,FALSE),"Unknown customer")</f>
        <v>Ibadan</v>
      </c>
      <c r="P133" s="29" t="str">
        <f>_xlfn.IFNA(VLOOKUP(Sales[[#This Row],[customer_id]],Cust[],4, FALSE),"Unknown customer")</f>
        <v>Dayo Musa</v>
      </c>
      <c r="Q133" s="29" t="str">
        <f>_xlfn.IFNA(VLOOKUP(Sales[[#This Row],[customer_id]], Cust[], 10, FALSE), "Unknown customer")</f>
        <v>Retail</v>
      </c>
      <c r="R133" s="29">
        <f>SUM(Sales[quantity]*Sales[[#This Row],[unit_price_ngn]]*(1-Sales[[#This Row],[discount_pct]]))</f>
        <v>31000</v>
      </c>
      <c r="S133" s="29">
        <f>Sales[[#This Row],[revenue]]-(Sales[[#This Row],[quantity]]*Sales[[#This Row],[unit_cost_ngn]])</f>
        <v>11200</v>
      </c>
      <c r="T133" s="41" t="str">
        <f>TEXT(Sales[order_date], "yyyy-mm")</f>
        <v>2025-11</v>
      </c>
    </row>
    <row r="134" spans="1:20" ht="15" customHeight="1" x14ac:dyDescent="0.25">
      <c r="A134" s="10" t="s">
        <v>545</v>
      </c>
      <c r="B134" s="11">
        <v>45985</v>
      </c>
      <c r="C134" s="10" t="s">
        <v>39</v>
      </c>
      <c r="D134" s="10" t="s">
        <v>40</v>
      </c>
      <c r="E134" s="10" t="s">
        <v>75</v>
      </c>
      <c r="F134" s="10" t="s">
        <v>65</v>
      </c>
      <c r="G134" s="10" t="s">
        <v>66</v>
      </c>
      <c r="H134" s="10">
        <v>2</v>
      </c>
      <c r="I134" s="10">
        <v>24000</v>
      </c>
      <c r="J134" s="10">
        <v>14500</v>
      </c>
      <c r="K134" s="12">
        <v>0</v>
      </c>
      <c r="L134" s="10">
        <v>5</v>
      </c>
      <c r="M134" s="28" t="s">
        <v>210</v>
      </c>
      <c r="N134" s="29">
        <f>_xlfn.IFNA(VLOOKUP(Sales[customer_id],Cust[],11,FALSE),"Unknown")</f>
        <v>250000</v>
      </c>
      <c r="O134" s="29" t="str">
        <f>_xlfn.IFNA(VLOOKUP(Sales[customer_id], Cust[], 7,FALSE),"Unknown customer")</f>
        <v>Ibadan</v>
      </c>
      <c r="P134" s="29" t="str">
        <f>_xlfn.IFNA(VLOOKUP(Sales[[#This Row],[customer_id]],Cust[],4, FALSE),"Unknown customer")</f>
        <v>Tunde Mohammed</v>
      </c>
      <c r="Q134" s="29" t="str">
        <f>_xlfn.IFNA(VLOOKUP(Sales[[#This Row],[customer_id]], Cust[], 10, FALSE), "Unknown customer")</f>
        <v>Retail</v>
      </c>
      <c r="R134" s="29">
        <f>SUM(Sales[quantity]*Sales[[#This Row],[unit_price_ngn]]*(1-Sales[[#This Row],[discount_pct]]))</f>
        <v>48000</v>
      </c>
      <c r="S134" s="29">
        <f>Sales[[#This Row],[revenue]]-(Sales[[#This Row],[quantity]]*Sales[[#This Row],[unit_cost_ngn]])</f>
        <v>19000</v>
      </c>
      <c r="T134" s="41" t="str">
        <f>TEXT(Sales[order_date], "yyyy-mm")</f>
        <v>2025-11</v>
      </c>
    </row>
    <row r="135" spans="1:20" ht="15" customHeight="1" x14ac:dyDescent="0.25">
      <c r="A135" s="10" t="s">
        <v>556</v>
      </c>
      <c r="B135" s="11">
        <v>45993</v>
      </c>
      <c r="C135" s="10" t="s">
        <v>39</v>
      </c>
      <c r="D135" s="10" t="s">
        <v>40</v>
      </c>
      <c r="E135" s="10" t="s">
        <v>34</v>
      </c>
      <c r="F135" s="10" t="s">
        <v>101</v>
      </c>
      <c r="G135" s="10" t="s">
        <v>61</v>
      </c>
      <c r="H135" s="10">
        <v>3</v>
      </c>
      <c r="I135" s="10">
        <v>28000</v>
      </c>
      <c r="J135" s="10">
        <v>18500</v>
      </c>
      <c r="K135" s="12">
        <v>0.05</v>
      </c>
      <c r="L135" s="10">
        <v>4</v>
      </c>
      <c r="M135" s="28" t="s">
        <v>308</v>
      </c>
      <c r="N135" s="29">
        <f>_xlfn.IFNA(VLOOKUP(Sales[customer_id],Cust[],11,FALSE),"Unknown")</f>
        <v>250000</v>
      </c>
      <c r="O135" s="29" t="str">
        <f>_xlfn.IFNA(VLOOKUP(Sales[customer_id], Cust[], 7,FALSE),"Unknown customer")</f>
        <v>Ibadan</v>
      </c>
      <c r="P135" s="29" t="str">
        <f>_xlfn.IFNA(VLOOKUP(Sales[[#This Row],[customer_id]],Cust[],4, FALSE),"Unknown customer")</f>
        <v>Emeka Ibrahim</v>
      </c>
      <c r="Q135" s="29" t="str">
        <f>_xlfn.IFNA(VLOOKUP(Sales[[#This Row],[customer_id]], Cust[], 10, FALSE), "Unknown customer")</f>
        <v>Retail</v>
      </c>
      <c r="R135" s="29">
        <f>SUM(Sales[quantity]*Sales[[#This Row],[unit_price_ngn]]*(1-Sales[[#This Row],[discount_pct]]))</f>
        <v>79800</v>
      </c>
      <c r="S135" s="29">
        <f>Sales[[#This Row],[revenue]]-(Sales[[#This Row],[quantity]]*Sales[[#This Row],[unit_cost_ngn]])</f>
        <v>24300</v>
      </c>
      <c r="T135" s="41" t="str">
        <f>TEXT(Sales[order_date], "yyyy-mm")</f>
        <v>2025-12</v>
      </c>
    </row>
    <row r="136" spans="1:20" ht="15" customHeight="1" x14ac:dyDescent="0.25">
      <c r="A136" s="10" t="s">
        <v>585</v>
      </c>
      <c r="B136" s="11">
        <v>46019</v>
      </c>
      <c r="C136" s="10" t="s">
        <v>39</v>
      </c>
      <c r="D136" s="10" t="s">
        <v>40</v>
      </c>
      <c r="E136" s="10" t="s">
        <v>56</v>
      </c>
      <c r="F136" s="10" t="s">
        <v>78</v>
      </c>
      <c r="G136" s="10" t="s">
        <v>36</v>
      </c>
      <c r="H136" s="10">
        <v>10</v>
      </c>
      <c r="I136" s="10">
        <v>22000</v>
      </c>
      <c r="J136" s="10">
        <v>13800</v>
      </c>
      <c r="K136" s="12">
        <v>0.1</v>
      </c>
      <c r="L136" s="10">
        <v>5</v>
      </c>
      <c r="M136" s="28" t="s">
        <v>316</v>
      </c>
      <c r="N136" s="29">
        <f>_xlfn.IFNA(VLOOKUP(Sales[customer_id],Cust[],11,FALSE),"Unknown")</f>
        <v>100000</v>
      </c>
      <c r="O136" s="29" t="str">
        <f>_xlfn.IFNA(VLOOKUP(Sales[customer_id], Cust[], 7,FALSE),"Unknown customer")</f>
        <v>Ibadan</v>
      </c>
      <c r="P136" s="29" t="str">
        <f>_xlfn.IFNA(VLOOKUP(Sales[[#This Row],[customer_id]],Cust[],4, FALSE),"Unknown customer")</f>
        <v>Aisha Okafor</v>
      </c>
      <c r="Q136" s="29" t="str">
        <f>_xlfn.IFNA(VLOOKUP(Sales[[#This Row],[customer_id]], Cust[], 10, FALSE), "Unknown customer")</f>
        <v>Corporate</v>
      </c>
      <c r="R136" s="29">
        <f>SUM(Sales[quantity]*Sales[[#This Row],[unit_price_ngn]]*(1-Sales[[#This Row],[discount_pct]]))</f>
        <v>198000</v>
      </c>
      <c r="S136" s="29">
        <f>Sales[[#This Row],[revenue]]-(Sales[[#This Row],[quantity]]*Sales[[#This Row],[unit_cost_ngn]])</f>
        <v>60000</v>
      </c>
      <c r="T136" s="41" t="str">
        <f>TEXT(Sales[order_date], "yyyy-mm")</f>
        <v>2025-12</v>
      </c>
    </row>
    <row r="137" spans="1:20" ht="15" customHeight="1" x14ac:dyDescent="0.25">
      <c r="A137" s="10" t="s">
        <v>588</v>
      </c>
      <c r="B137" s="11">
        <v>46022</v>
      </c>
      <c r="C137" s="10" t="s">
        <v>39</v>
      </c>
      <c r="D137" s="10" t="s">
        <v>40</v>
      </c>
      <c r="E137" s="10" t="s">
        <v>75</v>
      </c>
      <c r="F137" s="10" t="s">
        <v>35</v>
      </c>
      <c r="G137" s="10" t="s">
        <v>36</v>
      </c>
      <c r="H137" s="10">
        <v>3</v>
      </c>
      <c r="I137" s="10">
        <v>18500</v>
      </c>
      <c r="J137" s="10">
        <v>11800</v>
      </c>
      <c r="K137" s="12">
        <v>0</v>
      </c>
      <c r="L137" s="10">
        <v>2</v>
      </c>
      <c r="M137" s="28" t="s">
        <v>102</v>
      </c>
      <c r="N137" s="29">
        <f>_xlfn.IFNA(VLOOKUP(Sales[customer_id],Cust[],11,FALSE),"Unknown")</f>
        <v>50000</v>
      </c>
      <c r="O137" s="29" t="str">
        <f>_xlfn.IFNA(VLOOKUP(Sales[customer_id], Cust[], 7,FALSE),"Unknown customer")</f>
        <v>Ibadan</v>
      </c>
      <c r="P137" s="29" t="str">
        <f>_xlfn.IFNA(VLOOKUP(Sales[[#This Row],[customer_id]],Cust[],4, FALSE),"Unknown customer")</f>
        <v>Jide Umeh</v>
      </c>
      <c r="Q137" s="29" t="str">
        <f>_xlfn.IFNA(VLOOKUP(Sales[[#This Row],[customer_id]], Cust[], 10, FALSE), "Unknown customer")</f>
        <v>Wholesale</v>
      </c>
      <c r="R137" s="29">
        <f>SUM(Sales[quantity]*Sales[[#This Row],[unit_price_ngn]]*(1-Sales[[#This Row],[discount_pct]]))</f>
        <v>55500</v>
      </c>
      <c r="S137" s="29">
        <f>Sales[[#This Row],[revenue]]-(Sales[[#This Row],[quantity]]*Sales[[#This Row],[unit_cost_ngn]])</f>
        <v>20100</v>
      </c>
      <c r="T137" s="41" t="str">
        <f>TEXT(Sales[order_date], "yyyy-mm")</f>
        <v>2025-12</v>
      </c>
    </row>
    <row r="138" spans="1:20" ht="15" customHeight="1" x14ac:dyDescent="0.25">
      <c r="A138" s="10" t="s">
        <v>589</v>
      </c>
      <c r="B138" s="11">
        <v>46022</v>
      </c>
      <c r="C138" s="10" t="s">
        <v>39</v>
      </c>
      <c r="D138" s="10" t="s">
        <v>40</v>
      </c>
      <c r="E138" s="10" t="s">
        <v>75</v>
      </c>
      <c r="F138" s="10" t="s">
        <v>199</v>
      </c>
      <c r="G138" s="10" t="s">
        <v>36</v>
      </c>
      <c r="H138" s="10">
        <v>3</v>
      </c>
      <c r="I138" s="10">
        <v>15500</v>
      </c>
      <c r="J138" s="10">
        <v>9900</v>
      </c>
      <c r="K138" s="12">
        <v>0.1</v>
      </c>
      <c r="L138" s="10">
        <v>2</v>
      </c>
      <c r="M138" s="28" t="s">
        <v>310</v>
      </c>
      <c r="N138" s="29">
        <f>_xlfn.IFNA(VLOOKUP(Sales[customer_id],Cust[],11,FALSE),"Unknown")</f>
        <v>100000</v>
      </c>
      <c r="O138" s="29" t="str">
        <f>_xlfn.IFNA(VLOOKUP(Sales[customer_id], Cust[], 7,FALSE),"Unknown customer")</f>
        <v>Ibadan</v>
      </c>
      <c r="P138" s="29" t="str">
        <f>_xlfn.IFNA(VLOOKUP(Sales[[#This Row],[customer_id]],Cust[],4, FALSE),"Unknown customer")</f>
        <v>Blessing Nnamdi</v>
      </c>
      <c r="Q138" s="29" t="str">
        <f>_xlfn.IFNA(VLOOKUP(Sales[[#This Row],[customer_id]], Cust[], 10, FALSE), "Unknown customer")</f>
        <v>Retail</v>
      </c>
      <c r="R138" s="29">
        <f>SUM(Sales[quantity]*Sales[[#This Row],[unit_price_ngn]]*(1-Sales[[#This Row],[discount_pct]]))</f>
        <v>41850</v>
      </c>
      <c r="S138" s="29">
        <f>Sales[[#This Row],[revenue]]-(Sales[[#This Row],[quantity]]*Sales[[#This Row],[unit_cost_ngn]])</f>
        <v>12150</v>
      </c>
      <c r="T138" s="41" t="str">
        <f>TEXT(Sales[order_date], "yyyy-mm")</f>
        <v>2025-12</v>
      </c>
    </row>
    <row r="139" spans="1:20" ht="15" customHeight="1" x14ac:dyDescent="0.25">
      <c r="A139" s="10" t="s">
        <v>62</v>
      </c>
      <c r="B139" s="11">
        <v>45661</v>
      </c>
      <c r="C139" s="10" t="s">
        <v>63</v>
      </c>
      <c r="D139" s="10" t="s">
        <v>64</v>
      </c>
      <c r="E139" s="10" t="s">
        <v>45</v>
      </c>
      <c r="F139" s="10" t="s">
        <v>65</v>
      </c>
      <c r="G139" s="10" t="s">
        <v>66</v>
      </c>
      <c r="H139" s="10">
        <v>2</v>
      </c>
      <c r="I139" s="10">
        <v>24000</v>
      </c>
      <c r="J139" s="10">
        <v>14500</v>
      </c>
      <c r="K139" s="12">
        <v>0</v>
      </c>
      <c r="L139" s="10">
        <v>7</v>
      </c>
      <c r="M139" s="28" t="s">
        <v>67</v>
      </c>
      <c r="N139" s="29">
        <f>_xlfn.IFNA(VLOOKUP(Sales[customer_id],Cust[],11,FALSE),"Unknown")</f>
        <v>100000</v>
      </c>
      <c r="O139" s="29" t="str">
        <f>_xlfn.IFNA(VLOOKUP(Sales[customer_id], Cust[], 7,FALSE),"Unknown customer")</f>
        <v>Kano</v>
      </c>
      <c r="P139" s="29" t="str">
        <f>_xlfn.IFNA(VLOOKUP(Sales[[#This Row],[customer_id]],Cust[],4, FALSE),"Unknown customer")</f>
        <v>Ngozi Bello</v>
      </c>
      <c r="Q139" s="29" t="str">
        <f>_xlfn.IFNA(VLOOKUP(Sales[[#This Row],[customer_id]], Cust[], 10, FALSE), "Unknown customer")</f>
        <v>Wholesale</v>
      </c>
      <c r="R139" s="29">
        <f>SUM(Sales[quantity]*Sales[[#This Row],[unit_price_ngn]]*(1-Sales[[#This Row],[discount_pct]]))</f>
        <v>48000</v>
      </c>
      <c r="S139" s="29">
        <f>Sales[[#This Row],[revenue]]-(Sales[[#This Row],[quantity]]*Sales[[#This Row],[unit_cost_ngn]])</f>
        <v>19000</v>
      </c>
      <c r="T139" s="41" t="str">
        <f>TEXT(Sales[order_date], "yyyy-mm")</f>
        <v>2025-01</v>
      </c>
    </row>
    <row r="140" spans="1:20" ht="15" customHeight="1" x14ac:dyDescent="0.25">
      <c r="A140" s="10" t="s">
        <v>85</v>
      </c>
      <c r="B140" s="11">
        <v>45664</v>
      </c>
      <c r="C140" s="10" t="s">
        <v>63</v>
      </c>
      <c r="D140" s="10" t="s">
        <v>64</v>
      </c>
      <c r="E140" s="10" t="s">
        <v>34</v>
      </c>
      <c r="F140" s="10" t="s">
        <v>78</v>
      </c>
      <c r="G140" s="10" t="s">
        <v>36</v>
      </c>
      <c r="H140" s="10">
        <v>2</v>
      </c>
      <c r="I140" s="10">
        <v>22000</v>
      </c>
      <c r="J140" s="10">
        <v>13800</v>
      </c>
      <c r="K140" s="12">
        <v>0.1</v>
      </c>
      <c r="L140" s="10">
        <v>5</v>
      </c>
      <c r="M140" s="28" t="s">
        <v>86</v>
      </c>
      <c r="N140" s="29">
        <f>_xlfn.IFNA(VLOOKUP(Sales[customer_id],Cust[],11,FALSE),"Unknown")</f>
        <v>100000</v>
      </c>
      <c r="O140" s="29" t="str">
        <f>_xlfn.IFNA(VLOOKUP(Sales[customer_id], Cust[], 7,FALSE),"Unknown customer")</f>
        <v>Kano</v>
      </c>
      <c r="P140" s="29" t="str">
        <f>_xlfn.IFNA(VLOOKUP(Sales[[#This Row],[customer_id]],Cust[],4, FALSE),"Unknown customer")</f>
        <v>Halima Okonkwo</v>
      </c>
      <c r="Q140" s="29" t="str">
        <f>_xlfn.IFNA(VLOOKUP(Sales[[#This Row],[customer_id]], Cust[], 10, FALSE), "Unknown customer")</f>
        <v>Wholesale</v>
      </c>
      <c r="R140" s="29">
        <f>SUM(Sales[quantity]*Sales[[#This Row],[unit_price_ngn]]*(1-Sales[[#This Row],[discount_pct]]))</f>
        <v>39600</v>
      </c>
      <c r="S140" s="29">
        <f>Sales[[#This Row],[revenue]]-(Sales[[#This Row],[quantity]]*Sales[[#This Row],[unit_cost_ngn]])</f>
        <v>12000</v>
      </c>
      <c r="T140" s="41" t="str">
        <f>TEXT(Sales[order_date], "yyyy-mm")</f>
        <v>2025-01</v>
      </c>
    </row>
    <row r="141" spans="1:20" ht="15" customHeight="1" x14ac:dyDescent="0.25">
      <c r="A141" s="10" t="s">
        <v>93</v>
      </c>
      <c r="B141" s="11">
        <v>45669</v>
      </c>
      <c r="C141" s="10" t="s">
        <v>63</v>
      </c>
      <c r="D141" s="10" t="s">
        <v>64</v>
      </c>
      <c r="E141" s="10" t="s">
        <v>75</v>
      </c>
      <c r="F141" s="10" t="s">
        <v>69</v>
      </c>
      <c r="G141" s="10" t="s">
        <v>66</v>
      </c>
      <c r="H141" s="10">
        <v>2</v>
      </c>
      <c r="I141" s="10">
        <v>32000</v>
      </c>
      <c r="J141" s="10">
        <v>21000</v>
      </c>
      <c r="K141" s="12">
        <v>0</v>
      </c>
      <c r="L141" s="10">
        <v>5</v>
      </c>
      <c r="M141" s="28" t="s">
        <v>94</v>
      </c>
      <c r="N141" s="29">
        <f>_xlfn.IFNA(VLOOKUP(Sales[customer_id],Cust[],11,FALSE),"Unknown")</f>
        <v>250000</v>
      </c>
      <c r="O141" s="29" t="str">
        <f>_xlfn.IFNA(VLOOKUP(Sales[customer_id], Cust[], 7,FALSE),"Unknown customer")</f>
        <v>Kano</v>
      </c>
      <c r="P141" s="29" t="str">
        <f>_xlfn.IFNA(VLOOKUP(Sales[[#This Row],[customer_id]],Cust[],4, FALSE),"Unknown customer")</f>
        <v>Gbenga Fashola</v>
      </c>
      <c r="Q141" s="29" t="str">
        <f>_xlfn.IFNA(VLOOKUP(Sales[[#This Row],[customer_id]], Cust[], 10, FALSE), "Unknown customer")</f>
        <v>Corporate</v>
      </c>
      <c r="R141" s="29">
        <f>SUM(Sales[quantity]*Sales[[#This Row],[unit_price_ngn]]*(1-Sales[[#This Row],[discount_pct]]))</f>
        <v>64000</v>
      </c>
      <c r="S141" s="29">
        <f>Sales[[#This Row],[revenue]]-(Sales[[#This Row],[quantity]]*Sales[[#This Row],[unit_cost_ngn]])</f>
        <v>22000</v>
      </c>
      <c r="T141" s="41" t="str">
        <f>TEXT(Sales[order_date], "yyyy-mm")</f>
        <v>2025-01</v>
      </c>
    </row>
    <row r="142" spans="1:20" ht="15" customHeight="1" x14ac:dyDescent="0.25">
      <c r="A142" s="10" t="s">
        <v>108</v>
      </c>
      <c r="B142" s="11">
        <v>45676</v>
      </c>
      <c r="C142" s="10" t="s">
        <v>63</v>
      </c>
      <c r="D142" s="10" t="s">
        <v>64</v>
      </c>
      <c r="E142" s="10" t="s">
        <v>45</v>
      </c>
      <c r="F142" s="10" t="s">
        <v>35</v>
      </c>
      <c r="G142" s="10" t="s">
        <v>36</v>
      </c>
      <c r="H142" s="10">
        <v>3</v>
      </c>
      <c r="I142" s="10">
        <v>18500</v>
      </c>
      <c r="J142" s="10">
        <v>11800</v>
      </c>
      <c r="K142" s="12">
        <v>0.1</v>
      </c>
      <c r="L142" s="10">
        <v>2</v>
      </c>
      <c r="M142" s="28" t="s">
        <v>109</v>
      </c>
      <c r="N142" s="29">
        <f>_xlfn.IFNA(VLOOKUP(Sales[customer_id],Cust[],11,FALSE),"Unknown")</f>
        <v>500000</v>
      </c>
      <c r="O142" s="29" t="str">
        <f>_xlfn.IFNA(VLOOKUP(Sales[customer_id], Cust[], 7,FALSE),"Unknown customer")</f>
        <v>Kano</v>
      </c>
      <c r="P142" s="29" t="str">
        <f>_xlfn.IFNA(VLOOKUP(Sales[[#This Row],[customer_id]],Cust[],4, FALSE),"Unknown customer")</f>
        <v>Obinna Chukwu</v>
      </c>
      <c r="Q142" s="29" t="str">
        <f>_xlfn.IFNA(VLOOKUP(Sales[[#This Row],[customer_id]], Cust[], 10, FALSE), "Unknown customer")</f>
        <v>Corporate</v>
      </c>
      <c r="R142" s="29">
        <f>SUM(Sales[quantity]*Sales[[#This Row],[unit_price_ngn]]*(1-Sales[[#This Row],[discount_pct]]))</f>
        <v>49950</v>
      </c>
      <c r="S142" s="29">
        <f>Sales[[#This Row],[revenue]]-(Sales[[#This Row],[quantity]]*Sales[[#This Row],[unit_cost_ngn]])</f>
        <v>14550</v>
      </c>
      <c r="T142" s="41" t="str">
        <f>TEXT(Sales[order_date], "yyyy-mm")</f>
        <v>2025-01</v>
      </c>
    </row>
    <row r="143" spans="1:20" ht="15" customHeight="1" x14ac:dyDescent="0.25">
      <c r="A143" s="10" t="s">
        <v>114</v>
      </c>
      <c r="B143" s="11">
        <v>45677</v>
      </c>
      <c r="C143" s="10" t="s">
        <v>63</v>
      </c>
      <c r="D143" s="10" t="s">
        <v>64</v>
      </c>
      <c r="E143" s="10" t="s">
        <v>75</v>
      </c>
      <c r="F143" s="10" t="s">
        <v>72</v>
      </c>
      <c r="G143" s="10" t="s">
        <v>47</v>
      </c>
      <c r="H143" s="10">
        <v>1</v>
      </c>
      <c r="I143" s="10">
        <v>46000</v>
      </c>
      <c r="J143" s="10">
        <v>39000</v>
      </c>
      <c r="K143" s="12">
        <v>0</v>
      </c>
      <c r="L143" s="10">
        <v>2</v>
      </c>
      <c r="M143" s="28" t="s">
        <v>115</v>
      </c>
      <c r="N143" s="29">
        <f>_xlfn.IFNA(VLOOKUP(Sales[customer_id],Cust[],11,FALSE),"Unknown")</f>
        <v>500000</v>
      </c>
      <c r="O143" s="29" t="str">
        <f>_xlfn.IFNA(VLOOKUP(Sales[customer_id], Cust[], 7,FALSE),"Unknown customer")</f>
        <v>Kano</v>
      </c>
      <c r="P143" s="29" t="str">
        <f>_xlfn.IFNA(VLOOKUP(Sales[[#This Row],[customer_id]],Cust[],4, FALSE),"Unknown customer")</f>
        <v>Nneka Oyelaran</v>
      </c>
      <c r="Q143" s="29" t="str">
        <f>_xlfn.IFNA(VLOOKUP(Sales[[#This Row],[customer_id]], Cust[], 10, FALSE), "Unknown customer")</f>
        <v>Corporate</v>
      </c>
      <c r="R143" s="29">
        <f>SUM(Sales[quantity]*Sales[[#This Row],[unit_price_ngn]]*(1-Sales[[#This Row],[discount_pct]]))</f>
        <v>46000</v>
      </c>
      <c r="S143" s="29">
        <f>Sales[[#This Row],[revenue]]-(Sales[[#This Row],[quantity]]*Sales[[#This Row],[unit_cost_ngn]])</f>
        <v>7000</v>
      </c>
      <c r="T143" s="41" t="str">
        <f>TEXT(Sales[order_date], "yyyy-mm")</f>
        <v>2025-01</v>
      </c>
    </row>
    <row r="144" spans="1:20" ht="15" customHeight="1" x14ac:dyDescent="0.25">
      <c r="A144" s="10" t="s">
        <v>128</v>
      </c>
      <c r="B144" s="11">
        <v>45682</v>
      </c>
      <c r="C144" s="10" t="s">
        <v>63</v>
      </c>
      <c r="D144" s="10" t="s">
        <v>64</v>
      </c>
      <c r="E144" s="10" t="s">
        <v>45</v>
      </c>
      <c r="F144" s="10" t="s">
        <v>69</v>
      </c>
      <c r="G144" s="10" t="s">
        <v>66</v>
      </c>
      <c r="H144" s="10">
        <v>1</v>
      </c>
      <c r="I144" s="10">
        <v>32000</v>
      </c>
      <c r="J144" s="10">
        <v>21000</v>
      </c>
      <c r="K144" s="12">
        <v>0</v>
      </c>
      <c r="L144" s="10">
        <v>5</v>
      </c>
      <c r="M144" s="28" t="s">
        <v>115</v>
      </c>
      <c r="N144" s="29">
        <f>_xlfn.IFNA(VLOOKUP(Sales[customer_id],Cust[],11,FALSE),"Unknown")</f>
        <v>500000</v>
      </c>
      <c r="O144" s="29" t="str">
        <f>_xlfn.IFNA(VLOOKUP(Sales[customer_id], Cust[], 7,FALSE),"Unknown customer")</f>
        <v>Kano</v>
      </c>
      <c r="P144" s="29" t="str">
        <f>_xlfn.IFNA(VLOOKUP(Sales[[#This Row],[customer_id]],Cust[],4, FALSE),"Unknown customer")</f>
        <v>Nneka Oyelaran</v>
      </c>
      <c r="Q144" s="29" t="str">
        <f>_xlfn.IFNA(VLOOKUP(Sales[[#This Row],[customer_id]], Cust[], 10, FALSE), "Unknown customer")</f>
        <v>Corporate</v>
      </c>
      <c r="R144" s="29">
        <f>SUM(Sales[quantity]*Sales[[#This Row],[unit_price_ngn]]*(1-Sales[[#This Row],[discount_pct]]))</f>
        <v>32000</v>
      </c>
      <c r="S144" s="29">
        <f>Sales[[#This Row],[revenue]]-(Sales[[#This Row],[quantity]]*Sales[[#This Row],[unit_cost_ngn]])</f>
        <v>11000</v>
      </c>
      <c r="T144" s="41" t="str">
        <f>TEXT(Sales[order_date], "yyyy-mm")</f>
        <v>2025-01</v>
      </c>
    </row>
    <row r="145" spans="1:20" ht="15" customHeight="1" x14ac:dyDescent="0.25">
      <c r="A145" s="10" t="s">
        <v>175</v>
      </c>
      <c r="B145" s="11">
        <v>45715</v>
      </c>
      <c r="C145" s="10" t="s">
        <v>63</v>
      </c>
      <c r="D145" s="10" t="s">
        <v>64</v>
      </c>
      <c r="E145" s="10" t="s">
        <v>45</v>
      </c>
      <c r="F145" s="10" t="s">
        <v>72</v>
      </c>
      <c r="G145" s="10" t="s">
        <v>47</v>
      </c>
      <c r="H145" s="10">
        <v>1</v>
      </c>
      <c r="I145" s="10">
        <v>46000</v>
      </c>
      <c r="J145" s="10">
        <v>39000</v>
      </c>
      <c r="K145" s="12">
        <v>0</v>
      </c>
      <c r="L145" s="10">
        <v>5</v>
      </c>
      <c r="M145" s="28" t="s">
        <v>94</v>
      </c>
      <c r="N145" s="29">
        <f>_xlfn.IFNA(VLOOKUP(Sales[customer_id],Cust[],11,FALSE),"Unknown")</f>
        <v>250000</v>
      </c>
      <c r="O145" s="29" t="str">
        <f>_xlfn.IFNA(VLOOKUP(Sales[customer_id], Cust[], 7,FALSE),"Unknown customer")</f>
        <v>Kano</v>
      </c>
      <c r="P145" s="29" t="str">
        <f>_xlfn.IFNA(VLOOKUP(Sales[[#This Row],[customer_id]],Cust[],4, FALSE),"Unknown customer")</f>
        <v>Gbenga Fashola</v>
      </c>
      <c r="Q145" s="29" t="str">
        <f>_xlfn.IFNA(VLOOKUP(Sales[[#This Row],[customer_id]], Cust[], 10, FALSE), "Unknown customer")</f>
        <v>Corporate</v>
      </c>
      <c r="R145" s="29">
        <f>SUM(Sales[quantity]*Sales[[#This Row],[unit_price_ngn]]*(1-Sales[[#This Row],[discount_pct]]))</f>
        <v>46000</v>
      </c>
      <c r="S145" s="29">
        <f>Sales[[#This Row],[revenue]]-(Sales[[#This Row],[quantity]]*Sales[[#This Row],[unit_cost_ngn]])</f>
        <v>7000</v>
      </c>
      <c r="T145" s="41" t="str">
        <f>TEXT(Sales[order_date], "yyyy-mm")</f>
        <v>2025-02</v>
      </c>
    </row>
    <row r="146" spans="1:20" ht="15" customHeight="1" x14ac:dyDescent="0.25">
      <c r="A146" s="10" t="s">
        <v>176</v>
      </c>
      <c r="B146" s="11">
        <v>45717</v>
      </c>
      <c r="C146" s="10" t="s">
        <v>63</v>
      </c>
      <c r="D146" s="10" t="s">
        <v>64</v>
      </c>
      <c r="E146" s="10" t="s">
        <v>34</v>
      </c>
      <c r="F146" s="10" t="s">
        <v>65</v>
      </c>
      <c r="G146" s="10" t="s">
        <v>66</v>
      </c>
      <c r="H146" s="10">
        <v>2</v>
      </c>
      <c r="I146" s="10">
        <v>24000</v>
      </c>
      <c r="J146" s="10">
        <v>14500</v>
      </c>
      <c r="K146" s="12">
        <v>0</v>
      </c>
      <c r="L146" s="10">
        <v>3</v>
      </c>
      <c r="M146" s="28" t="s">
        <v>177</v>
      </c>
      <c r="N146" s="29">
        <f>_xlfn.IFNA(VLOOKUP(Sales[customer_id],Cust[],11,FALSE),"Unknown")</f>
        <v>100000</v>
      </c>
      <c r="O146" s="29" t="str">
        <f>_xlfn.IFNA(VLOOKUP(Sales[customer_id], Cust[], 7,FALSE),"Unknown customer")</f>
        <v>Kano</v>
      </c>
      <c r="P146" s="29" t="str">
        <f>_xlfn.IFNA(VLOOKUP(Sales[[#This Row],[customer_id]],Cust[],4, FALSE),"Unknown customer")</f>
        <v>Hauwa Okafor</v>
      </c>
      <c r="Q146" s="29" t="str">
        <f>_xlfn.IFNA(VLOOKUP(Sales[[#This Row],[customer_id]], Cust[], 10, FALSE), "Unknown customer")</f>
        <v>Wholesale</v>
      </c>
      <c r="R146" s="29">
        <f>SUM(Sales[quantity]*Sales[[#This Row],[unit_price_ngn]]*(1-Sales[[#This Row],[discount_pct]]))</f>
        <v>48000</v>
      </c>
      <c r="S146" s="29">
        <f>Sales[[#This Row],[revenue]]-(Sales[[#This Row],[quantity]]*Sales[[#This Row],[unit_cost_ngn]])</f>
        <v>19000</v>
      </c>
      <c r="T146" s="41" t="str">
        <f>TEXT(Sales[order_date], "yyyy-mm")</f>
        <v>2025-03</v>
      </c>
    </row>
    <row r="147" spans="1:20" ht="15" customHeight="1" x14ac:dyDescent="0.25">
      <c r="A147" s="10" t="s">
        <v>178</v>
      </c>
      <c r="B147" s="11">
        <v>45717</v>
      </c>
      <c r="C147" s="10" t="s">
        <v>63</v>
      </c>
      <c r="D147" s="10" t="s">
        <v>64</v>
      </c>
      <c r="E147" s="10" t="s">
        <v>34</v>
      </c>
      <c r="F147" s="10" t="s">
        <v>65</v>
      </c>
      <c r="G147" s="10" t="s">
        <v>66</v>
      </c>
      <c r="H147" s="10">
        <v>3</v>
      </c>
      <c r="I147" s="10">
        <v>24000</v>
      </c>
      <c r="J147" s="10">
        <v>14500</v>
      </c>
      <c r="K147" s="12">
        <v>0</v>
      </c>
      <c r="L147" s="10">
        <v>4</v>
      </c>
      <c r="M147" s="28" t="s">
        <v>179</v>
      </c>
      <c r="N147" s="29">
        <f>_xlfn.IFNA(VLOOKUP(Sales[customer_id],Cust[],11,FALSE),"Unknown")</f>
        <v>150000</v>
      </c>
      <c r="O147" s="29" t="str">
        <f>_xlfn.IFNA(VLOOKUP(Sales[customer_id], Cust[], 7,FALSE),"Unknown customer")</f>
        <v>Kano</v>
      </c>
      <c r="P147" s="29" t="str">
        <f>_xlfn.IFNA(VLOOKUP(Sales[[#This Row],[customer_id]],Cust[],4, FALSE),"Unknown customer")</f>
        <v>Halima Chukwu</v>
      </c>
      <c r="Q147" s="29" t="str">
        <f>_xlfn.IFNA(VLOOKUP(Sales[[#This Row],[customer_id]], Cust[], 10, FALSE), "Unknown customer")</f>
        <v>Wholesale</v>
      </c>
      <c r="R147" s="29">
        <f>SUM(Sales[quantity]*Sales[[#This Row],[unit_price_ngn]]*(1-Sales[[#This Row],[discount_pct]]))</f>
        <v>72000</v>
      </c>
      <c r="S147" s="29">
        <f>Sales[[#This Row],[revenue]]-(Sales[[#This Row],[quantity]]*Sales[[#This Row],[unit_cost_ngn]])</f>
        <v>28500</v>
      </c>
      <c r="T147" s="41" t="str">
        <f>TEXT(Sales[order_date], "yyyy-mm")</f>
        <v>2025-03</v>
      </c>
    </row>
    <row r="148" spans="1:20" ht="15" customHeight="1" x14ac:dyDescent="0.25">
      <c r="A148" s="10" t="s">
        <v>180</v>
      </c>
      <c r="B148" s="11">
        <v>45718</v>
      </c>
      <c r="C148" s="10" t="s">
        <v>63</v>
      </c>
      <c r="D148" s="10" t="s">
        <v>64</v>
      </c>
      <c r="E148" s="10" t="s">
        <v>45</v>
      </c>
      <c r="F148" s="10" t="s">
        <v>50</v>
      </c>
      <c r="G148" s="10" t="s">
        <v>51</v>
      </c>
      <c r="H148" s="10">
        <v>1</v>
      </c>
      <c r="I148" s="10">
        <v>41000</v>
      </c>
      <c r="J148" s="10">
        <v>25000</v>
      </c>
      <c r="K148" s="12">
        <v>0</v>
      </c>
      <c r="L148" s="10">
        <v>4</v>
      </c>
      <c r="M148" s="28" t="s">
        <v>181</v>
      </c>
      <c r="N148" s="29">
        <f>_xlfn.IFNA(VLOOKUP(Sales[customer_id],Cust[],11,FALSE),"Unknown")</f>
        <v>500000</v>
      </c>
      <c r="O148" s="29" t="str">
        <f>_xlfn.IFNA(VLOOKUP(Sales[customer_id], Cust[], 7,FALSE),"Unknown customer")</f>
        <v>Kano</v>
      </c>
      <c r="P148" s="29" t="str">
        <f>_xlfn.IFNA(VLOOKUP(Sales[[#This Row],[customer_id]],Cust[],4, FALSE),"Unknown customer")</f>
        <v>Chidi Mohammed</v>
      </c>
      <c r="Q148" s="29" t="str">
        <f>_xlfn.IFNA(VLOOKUP(Sales[[#This Row],[customer_id]], Cust[], 10, FALSE), "Unknown customer")</f>
        <v>Corporate</v>
      </c>
      <c r="R148" s="29">
        <f>SUM(Sales[quantity]*Sales[[#This Row],[unit_price_ngn]]*(1-Sales[[#This Row],[discount_pct]]))</f>
        <v>41000</v>
      </c>
      <c r="S148" s="29">
        <f>Sales[[#This Row],[revenue]]-(Sales[[#This Row],[quantity]]*Sales[[#This Row],[unit_cost_ngn]])</f>
        <v>16000</v>
      </c>
      <c r="T148" s="41" t="str">
        <f>TEXT(Sales[order_date], "yyyy-mm")</f>
        <v>2025-03</v>
      </c>
    </row>
    <row r="149" spans="1:20" ht="15" customHeight="1" x14ac:dyDescent="0.25">
      <c r="A149" s="10" t="s">
        <v>190</v>
      </c>
      <c r="B149" s="11">
        <v>45727</v>
      </c>
      <c r="C149" s="10" t="s">
        <v>63</v>
      </c>
      <c r="D149" s="10" t="s">
        <v>64</v>
      </c>
      <c r="E149" s="10" t="s">
        <v>45</v>
      </c>
      <c r="F149" s="10" t="s">
        <v>72</v>
      </c>
      <c r="G149" s="10" t="s">
        <v>47</v>
      </c>
      <c r="H149" s="10">
        <v>3</v>
      </c>
      <c r="I149" s="10">
        <v>46000</v>
      </c>
      <c r="J149" s="10">
        <v>39000</v>
      </c>
      <c r="K149" s="12">
        <v>0.1</v>
      </c>
      <c r="L149" s="10">
        <v>2</v>
      </c>
      <c r="M149" s="28" t="s">
        <v>191</v>
      </c>
      <c r="N149" s="29">
        <f>_xlfn.IFNA(VLOOKUP(Sales[customer_id],Cust[],11,FALSE),"Unknown")</f>
        <v>150000</v>
      </c>
      <c r="O149" s="29" t="str">
        <f>_xlfn.IFNA(VLOOKUP(Sales[customer_id], Cust[], 7,FALSE),"Unknown customer")</f>
        <v>Kano</v>
      </c>
      <c r="P149" s="29" t="str">
        <f>_xlfn.IFNA(VLOOKUP(Sales[[#This Row],[customer_id]],Cust[],4, FALSE),"Unknown customer")</f>
        <v>Kemi Nwachukwu</v>
      </c>
      <c r="Q149" s="29" t="str">
        <f>_xlfn.IFNA(VLOOKUP(Sales[[#This Row],[customer_id]], Cust[], 10, FALSE), "Unknown customer")</f>
        <v>Wholesale</v>
      </c>
      <c r="R149" s="29">
        <f>SUM(Sales[quantity]*Sales[[#This Row],[unit_price_ngn]]*(1-Sales[[#This Row],[discount_pct]]))</f>
        <v>124200</v>
      </c>
      <c r="S149" s="29">
        <f>Sales[[#This Row],[revenue]]-(Sales[[#This Row],[quantity]]*Sales[[#This Row],[unit_cost_ngn]])</f>
        <v>7200</v>
      </c>
      <c r="T149" s="41" t="str">
        <f>TEXT(Sales[order_date], "yyyy-mm")</f>
        <v>2025-03</v>
      </c>
    </row>
    <row r="150" spans="1:20" ht="15" customHeight="1" x14ac:dyDescent="0.25">
      <c r="A150" s="10" t="s">
        <v>196</v>
      </c>
      <c r="B150" s="11">
        <v>45732</v>
      </c>
      <c r="C150" s="10" t="s">
        <v>63</v>
      </c>
      <c r="D150" s="10" t="s">
        <v>64</v>
      </c>
      <c r="E150" s="10" t="s">
        <v>34</v>
      </c>
      <c r="F150" s="10" t="s">
        <v>65</v>
      </c>
      <c r="G150" s="10" t="s">
        <v>66</v>
      </c>
      <c r="H150" s="10">
        <v>3</v>
      </c>
      <c r="I150" s="10">
        <v>24000</v>
      </c>
      <c r="J150" s="10">
        <v>14500</v>
      </c>
      <c r="K150" s="12">
        <v>0</v>
      </c>
      <c r="L150" s="10">
        <v>1</v>
      </c>
      <c r="M150" s="28" t="s">
        <v>197</v>
      </c>
      <c r="N150" s="29">
        <f>_xlfn.IFNA(VLOOKUP(Sales[customer_id],Cust[],11,FALSE),"Unknown")</f>
        <v>500000</v>
      </c>
      <c r="O150" s="29" t="str">
        <f>_xlfn.IFNA(VLOOKUP(Sales[customer_id], Cust[], 7,FALSE),"Unknown customer")</f>
        <v>Kano</v>
      </c>
      <c r="P150" s="29" t="str">
        <f>_xlfn.IFNA(VLOOKUP(Sales[[#This Row],[customer_id]],Cust[],4, FALSE),"Unknown customer")</f>
        <v>Ijeoma Jibril</v>
      </c>
      <c r="Q150" s="29" t="str">
        <f>_xlfn.IFNA(VLOOKUP(Sales[[#This Row],[customer_id]], Cust[], 10, FALSE), "Unknown customer")</f>
        <v>Wholesale</v>
      </c>
      <c r="R150" s="29">
        <f>SUM(Sales[quantity]*Sales[[#This Row],[unit_price_ngn]]*(1-Sales[[#This Row],[discount_pct]]))</f>
        <v>72000</v>
      </c>
      <c r="S150" s="29">
        <f>Sales[[#This Row],[revenue]]-(Sales[[#This Row],[quantity]]*Sales[[#This Row],[unit_cost_ngn]])</f>
        <v>28500</v>
      </c>
      <c r="T150" s="41" t="str">
        <f>TEXT(Sales[order_date], "yyyy-mm")</f>
        <v>2025-03</v>
      </c>
    </row>
    <row r="151" spans="1:20" ht="15" customHeight="1" x14ac:dyDescent="0.25">
      <c r="A151" s="10" t="s">
        <v>207</v>
      </c>
      <c r="B151" s="11">
        <v>45738</v>
      </c>
      <c r="C151" s="10" t="s">
        <v>63</v>
      </c>
      <c r="D151" s="10" t="s">
        <v>64</v>
      </c>
      <c r="E151" s="10" t="s">
        <v>75</v>
      </c>
      <c r="F151" s="10" t="s">
        <v>50</v>
      </c>
      <c r="G151" s="10" t="s">
        <v>51</v>
      </c>
      <c r="H151" s="10">
        <v>1</v>
      </c>
      <c r="I151" s="10">
        <v>41000</v>
      </c>
      <c r="J151" s="10">
        <v>25000</v>
      </c>
      <c r="K151" s="12">
        <v>0.05</v>
      </c>
      <c r="L151" s="10">
        <v>1</v>
      </c>
      <c r="M151" s="28" t="s">
        <v>208</v>
      </c>
      <c r="N151" s="29">
        <f>_xlfn.IFNA(VLOOKUP(Sales[customer_id],Cust[],11,FALSE),"Unknown")</f>
        <v>50000</v>
      </c>
      <c r="O151" s="29" t="str">
        <f>_xlfn.IFNA(VLOOKUP(Sales[customer_id], Cust[], 7,FALSE),"Unknown customer")</f>
        <v>Kano</v>
      </c>
      <c r="P151" s="29" t="str">
        <f>_xlfn.IFNA(VLOOKUP(Sales[[#This Row],[customer_id]],Cust[],4, FALSE),"Unknown customer")</f>
        <v>Tunde Ogunleye</v>
      </c>
      <c r="Q151" s="29" t="str">
        <f>_xlfn.IFNA(VLOOKUP(Sales[[#This Row],[customer_id]], Cust[], 10, FALSE), "Unknown customer")</f>
        <v>Retail</v>
      </c>
      <c r="R151" s="29">
        <f>SUM(Sales[quantity]*Sales[[#This Row],[unit_price_ngn]]*(1-Sales[[#This Row],[discount_pct]]))</f>
        <v>38950</v>
      </c>
      <c r="S151" s="29">
        <f>Sales[[#This Row],[revenue]]-(Sales[[#This Row],[quantity]]*Sales[[#This Row],[unit_cost_ngn]])</f>
        <v>13950</v>
      </c>
      <c r="T151" s="41" t="str">
        <f>TEXT(Sales[order_date], "yyyy-mm")</f>
        <v>2025-03</v>
      </c>
    </row>
    <row r="152" spans="1:20" ht="15" customHeight="1" x14ac:dyDescent="0.25">
      <c r="A152" s="10" t="s">
        <v>216</v>
      </c>
      <c r="B152" s="11">
        <v>45743</v>
      </c>
      <c r="C152" s="10" t="s">
        <v>63</v>
      </c>
      <c r="D152" s="10" t="s">
        <v>64</v>
      </c>
      <c r="E152" s="10" t="s">
        <v>34</v>
      </c>
      <c r="F152" s="10" t="s">
        <v>57</v>
      </c>
      <c r="G152" s="10" t="s">
        <v>51</v>
      </c>
      <c r="H152" s="10">
        <v>4</v>
      </c>
      <c r="I152" s="10">
        <v>27500</v>
      </c>
      <c r="J152" s="10">
        <v>16500</v>
      </c>
      <c r="K152" s="12">
        <v>0</v>
      </c>
      <c r="L152" s="10">
        <v>2</v>
      </c>
      <c r="M152" s="28" t="s">
        <v>67</v>
      </c>
      <c r="N152" s="29">
        <f>_xlfn.IFNA(VLOOKUP(Sales[customer_id],Cust[],11,FALSE),"Unknown")</f>
        <v>100000</v>
      </c>
      <c r="O152" s="29" t="str">
        <f>_xlfn.IFNA(VLOOKUP(Sales[customer_id], Cust[], 7,FALSE),"Unknown customer")</f>
        <v>Kano</v>
      </c>
      <c r="P152" s="29" t="str">
        <f>_xlfn.IFNA(VLOOKUP(Sales[[#This Row],[customer_id]],Cust[],4, FALSE),"Unknown customer")</f>
        <v>Ngozi Bello</v>
      </c>
      <c r="Q152" s="29" t="str">
        <f>_xlfn.IFNA(VLOOKUP(Sales[[#This Row],[customer_id]], Cust[], 10, FALSE), "Unknown customer")</f>
        <v>Wholesale</v>
      </c>
      <c r="R152" s="29">
        <f>SUM(Sales[quantity]*Sales[[#This Row],[unit_price_ngn]]*(1-Sales[[#This Row],[discount_pct]]))</f>
        <v>110000</v>
      </c>
      <c r="S152" s="29">
        <f>Sales[[#This Row],[revenue]]-(Sales[[#This Row],[quantity]]*Sales[[#This Row],[unit_cost_ngn]])</f>
        <v>44000</v>
      </c>
      <c r="T152" s="41" t="str">
        <f>TEXT(Sales[order_date], "yyyy-mm")</f>
        <v>2025-03</v>
      </c>
    </row>
    <row r="153" spans="1:20" ht="15" customHeight="1" x14ac:dyDescent="0.25">
      <c r="A153" s="10" t="s">
        <v>225</v>
      </c>
      <c r="B153" s="11">
        <v>45752</v>
      </c>
      <c r="C153" s="10" t="s">
        <v>63</v>
      </c>
      <c r="D153" s="10" t="s">
        <v>64</v>
      </c>
      <c r="E153" s="10" t="s">
        <v>45</v>
      </c>
      <c r="F153" s="10" t="s">
        <v>72</v>
      </c>
      <c r="G153" s="10" t="s">
        <v>47</v>
      </c>
      <c r="H153" s="10">
        <v>4</v>
      </c>
      <c r="I153" s="10">
        <v>46000</v>
      </c>
      <c r="J153" s="10">
        <v>39000</v>
      </c>
      <c r="K153" s="12">
        <v>0</v>
      </c>
      <c r="L153" s="10">
        <v>2</v>
      </c>
      <c r="M153" s="28" t="s">
        <v>191</v>
      </c>
      <c r="N153" s="29">
        <f>_xlfn.IFNA(VLOOKUP(Sales[customer_id],Cust[],11,FALSE),"Unknown")</f>
        <v>150000</v>
      </c>
      <c r="O153" s="29" t="str">
        <f>_xlfn.IFNA(VLOOKUP(Sales[customer_id], Cust[], 7,FALSE),"Unknown customer")</f>
        <v>Kano</v>
      </c>
      <c r="P153" s="29" t="str">
        <f>_xlfn.IFNA(VLOOKUP(Sales[[#This Row],[customer_id]],Cust[],4, FALSE),"Unknown customer")</f>
        <v>Kemi Nwachukwu</v>
      </c>
      <c r="Q153" s="29" t="str">
        <f>_xlfn.IFNA(VLOOKUP(Sales[[#This Row],[customer_id]], Cust[], 10, FALSE), "Unknown customer")</f>
        <v>Wholesale</v>
      </c>
      <c r="R153" s="29">
        <f>SUM(Sales[quantity]*Sales[[#This Row],[unit_price_ngn]]*(1-Sales[[#This Row],[discount_pct]]))</f>
        <v>184000</v>
      </c>
      <c r="S153" s="29">
        <f>Sales[[#This Row],[revenue]]-(Sales[[#This Row],[quantity]]*Sales[[#This Row],[unit_cost_ngn]])</f>
        <v>28000</v>
      </c>
      <c r="T153" s="41" t="str">
        <f>TEXT(Sales[order_date], "yyyy-mm")</f>
        <v>2025-04</v>
      </c>
    </row>
    <row r="154" spans="1:20" ht="15" customHeight="1" x14ac:dyDescent="0.25">
      <c r="A154" s="10" t="s">
        <v>254</v>
      </c>
      <c r="B154" s="11">
        <v>45765</v>
      </c>
      <c r="C154" s="10" t="s">
        <v>63</v>
      </c>
      <c r="D154" s="10" t="s">
        <v>64</v>
      </c>
      <c r="E154" s="10" t="s">
        <v>34</v>
      </c>
      <c r="F154" s="10" t="s">
        <v>65</v>
      </c>
      <c r="G154" s="10" t="s">
        <v>66</v>
      </c>
      <c r="H154" s="10">
        <v>5</v>
      </c>
      <c r="I154" s="10">
        <v>24000</v>
      </c>
      <c r="J154" s="10">
        <v>14500</v>
      </c>
      <c r="K154" s="12">
        <v>0</v>
      </c>
      <c r="L154" s="10">
        <v>3</v>
      </c>
      <c r="M154" s="28" t="s">
        <v>191</v>
      </c>
      <c r="N154" s="29">
        <f>_xlfn.IFNA(VLOOKUP(Sales[customer_id],Cust[],11,FALSE),"Unknown")</f>
        <v>150000</v>
      </c>
      <c r="O154" s="29" t="str">
        <f>_xlfn.IFNA(VLOOKUP(Sales[customer_id], Cust[], 7,FALSE),"Unknown customer")</f>
        <v>Kano</v>
      </c>
      <c r="P154" s="29" t="str">
        <f>_xlfn.IFNA(VLOOKUP(Sales[[#This Row],[customer_id]],Cust[],4, FALSE),"Unknown customer")</f>
        <v>Kemi Nwachukwu</v>
      </c>
      <c r="Q154" s="29" t="str">
        <f>_xlfn.IFNA(VLOOKUP(Sales[[#This Row],[customer_id]], Cust[], 10, FALSE), "Unknown customer")</f>
        <v>Wholesale</v>
      </c>
      <c r="R154" s="29">
        <f>SUM(Sales[quantity]*Sales[[#This Row],[unit_price_ngn]]*(1-Sales[[#This Row],[discount_pct]]))</f>
        <v>120000</v>
      </c>
      <c r="S154" s="29">
        <f>Sales[[#This Row],[revenue]]-(Sales[[#This Row],[quantity]]*Sales[[#This Row],[unit_cost_ngn]])</f>
        <v>47500</v>
      </c>
      <c r="T154" s="41" t="str">
        <f>TEXT(Sales[order_date], "yyyy-mm")</f>
        <v>2025-04</v>
      </c>
    </row>
    <row r="155" spans="1:20" ht="15" customHeight="1" x14ac:dyDescent="0.25">
      <c r="A155" s="10" t="s">
        <v>262</v>
      </c>
      <c r="B155" s="11">
        <v>45768</v>
      </c>
      <c r="C155" s="10" t="s">
        <v>63</v>
      </c>
      <c r="D155" s="10" t="s">
        <v>64</v>
      </c>
      <c r="E155" s="10" t="s">
        <v>75</v>
      </c>
      <c r="F155" s="10" t="s">
        <v>35</v>
      </c>
      <c r="G155" s="10" t="s">
        <v>36</v>
      </c>
      <c r="H155" s="10">
        <v>8</v>
      </c>
      <c r="I155" s="10">
        <v>18500</v>
      </c>
      <c r="J155" s="10">
        <v>11800</v>
      </c>
      <c r="K155" s="12">
        <v>0</v>
      </c>
      <c r="L155" s="10">
        <v>2</v>
      </c>
      <c r="M155" s="28" t="s">
        <v>263</v>
      </c>
      <c r="N155" s="29">
        <f>_xlfn.IFNA(VLOOKUP(Sales[customer_id],Cust[],11,FALSE),"Unknown")</f>
        <v>100000</v>
      </c>
      <c r="O155" s="29" t="str">
        <f>_xlfn.IFNA(VLOOKUP(Sales[customer_id], Cust[], 7,FALSE),"Unknown customer")</f>
        <v>Kano</v>
      </c>
      <c r="P155" s="29" t="str">
        <f>_xlfn.IFNA(VLOOKUP(Sales[[#This Row],[customer_id]],Cust[],4, FALSE),"Unknown customer")</f>
        <v>Aisha Eze</v>
      </c>
      <c r="Q155" s="29" t="str">
        <f>_xlfn.IFNA(VLOOKUP(Sales[[#This Row],[customer_id]], Cust[], 10, FALSE), "Unknown customer")</f>
        <v>Retail</v>
      </c>
      <c r="R155" s="29">
        <f>SUM(Sales[quantity]*Sales[[#This Row],[unit_price_ngn]]*(1-Sales[[#This Row],[discount_pct]]))</f>
        <v>148000</v>
      </c>
      <c r="S155" s="29">
        <f>Sales[[#This Row],[revenue]]-(Sales[[#This Row],[quantity]]*Sales[[#This Row],[unit_cost_ngn]])</f>
        <v>53600</v>
      </c>
      <c r="T155" s="41" t="str">
        <f>TEXT(Sales[order_date], "yyyy-mm")</f>
        <v>2025-04</v>
      </c>
    </row>
    <row r="156" spans="1:20" ht="15" customHeight="1" x14ac:dyDescent="0.25">
      <c r="A156" s="10" t="s">
        <v>267</v>
      </c>
      <c r="B156" s="11">
        <v>45770</v>
      </c>
      <c r="C156" s="10" t="s">
        <v>63</v>
      </c>
      <c r="D156" s="10" t="s">
        <v>64</v>
      </c>
      <c r="E156" s="10" t="s">
        <v>45</v>
      </c>
      <c r="F156" s="10" t="s">
        <v>101</v>
      </c>
      <c r="G156" s="10" t="s">
        <v>61</v>
      </c>
      <c r="H156" s="10">
        <v>3</v>
      </c>
      <c r="I156" s="10">
        <v>28000</v>
      </c>
      <c r="J156" s="10">
        <v>18500</v>
      </c>
      <c r="K156" s="12">
        <v>0</v>
      </c>
      <c r="L156" s="10">
        <v>1</v>
      </c>
      <c r="M156" s="28" t="s">
        <v>208</v>
      </c>
      <c r="N156" s="29">
        <f>_xlfn.IFNA(VLOOKUP(Sales[customer_id],Cust[],11,FALSE),"Unknown")</f>
        <v>50000</v>
      </c>
      <c r="O156" s="29" t="str">
        <f>_xlfn.IFNA(VLOOKUP(Sales[customer_id], Cust[], 7,FALSE),"Unknown customer")</f>
        <v>Kano</v>
      </c>
      <c r="P156" s="29" t="str">
        <f>_xlfn.IFNA(VLOOKUP(Sales[[#This Row],[customer_id]],Cust[],4, FALSE),"Unknown customer")</f>
        <v>Tunde Ogunleye</v>
      </c>
      <c r="Q156" s="29" t="str">
        <f>_xlfn.IFNA(VLOOKUP(Sales[[#This Row],[customer_id]], Cust[], 10, FALSE), "Unknown customer")</f>
        <v>Retail</v>
      </c>
      <c r="R156" s="29">
        <f>SUM(Sales[quantity]*Sales[[#This Row],[unit_price_ngn]]*(1-Sales[[#This Row],[discount_pct]]))</f>
        <v>84000</v>
      </c>
      <c r="S156" s="29">
        <f>Sales[[#This Row],[revenue]]-(Sales[[#This Row],[quantity]]*Sales[[#This Row],[unit_cost_ngn]])</f>
        <v>28500</v>
      </c>
      <c r="T156" s="41" t="str">
        <f>TEXT(Sales[order_date], "yyyy-mm")</f>
        <v>2025-04</v>
      </c>
    </row>
    <row r="157" spans="1:20" ht="15" customHeight="1" x14ac:dyDescent="0.25">
      <c r="A157" s="10" t="s">
        <v>287</v>
      </c>
      <c r="B157" s="11">
        <v>45785</v>
      </c>
      <c r="C157" s="10" t="s">
        <v>63</v>
      </c>
      <c r="D157" s="10" t="s">
        <v>64</v>
      </c>
      <c r="E157" s="10" t="s">
        <v>34</v>
      </c>
      <c r="F157" s="10" t="s">
        <v>72</v>
      </c>
      <c r="G157" s="10" t="s">
        <v>47</v>
      </c>
      <c r="H157" s="10">
        <v>2</v>
      </c>
      <c r="I157" s="10">
        <v>46000</v>
      </c>
      <c r="J157" s="10">
        <v>39000</v>
      </c>
      <c r="K157" s="12">
        <v>0</v>
      </c>
      <c r="L157" s="10">
        <v>7</v>
      </c>
      <c r="M157" s="28" t="s">
        <v>191</v>
      </c>
      <c r="N157" s="29">
        <f>_xlfn.IFNA(VLOOKUP(Sales[customer_id],Cust[],11,FALSE),"Unknown")</f>
        <v>150000</v>
      </c>
      <c r="O157" s="29" t="str">
        <f>_xlfn.IFNA(VLOOKUP(Sales[customer_id], Cust[], 7,FALSE),"Unknown customer")</f>
        <v>Kano</v>
      </c>
      <c r="P157" s="29" t="str">
        <f>_xlfn.IFNA(VLOOKUP(Sales[[#This Row],[customer_id]],Cust[],4, FALSE),"Unknown customer")</f>
        <v>Kemi Nwachukwu</v>
      </c>
      <c r="Q157" s="29" t="str">
        <f>_xlfn.IFNA(VLOOKUP(Sales[[#This Row],[customer_id]], Cust[], 10, FALSE), "Unknown customer")</f>
        <v>Wholesale</v>
      </c>
      <c r="R157" s="29">
        <f>SUM(Sales[quantity]*Sales[[#This Row],[unit_price_ngn]]*(1-Sales[[#This Row],[discount_pct]]))</f>
        <v>92000</v>
      </c>
      <c r="S157" s="29">
        <f>Sales[[#This Row],[revenue]]-(Sales[[#This Row],[quantity]]*Sales[[#This Row],[unit_cost_ngn]])</f>
        <v>14000</v>
      </c>
      <c r="T157" s="41" t="str">
        <f>TEXT(Sales[order_date], "yyyy-mm")</f>
        <v>2025-05</v>
      </c>
    </row>
    <row r="158" spans="1:20" ht="15" customHeight="1" x14ac:dyDescent="0.25">
      <c r="A158" s="10" t="s">
        <v>318</v>
      </c>
      <c r="B158" s="11">
        <v>45808</v>
      </c>
      <c r="C158" s="10" t="s">
        <v>63</v>
      </c>
      <c r="D158" s="10" t="s">
        <v>64</v>
      </c>
      <c r="E158" s="10" t="s">
        <v>56</v>
      </c>
      <c r="F158" s="10" t="s">
        <v>57</v>
      </c>
      <c r="G158" s="10" t="s">
        <v>51</v>
      </c>
      <c r="H158" s="10">
        <v>1</v>
      </c>
      <c r="I158" s="10">
        <v>27500</v>
      </c>
      <c r="J158" s="10">
        <v>16500</v>
      </c>
      <c r="K158" s="12">
        <v>0</v>
      </c>
      <c r="L158" s="10">
        <v>1</v>
      </c>
      <c r="M158" s="28" t="s">
        <v>319</v>
      </c>
      <c r="N158" s="29">
        <f>_xlfn.IFNA(VLOOKUP(Sales[customer_id],Cust[],11,FALSE),"Unknown")</f>
        <v>50000</v>
      </c>
      <c r="O158" s="29" t="str">
        <f>_xlfn.IFNA(VLOOKUP(Sales[customer_id], Cust[], 7,FALSE),"Unknown customer")</f>
        <v>Kano</v>
      </c>
      <c r="P158" s="29" t="str">
        <f>_xlfn.IFNA(VLOOKUP(Sales[[#This Row],[customer_id]],Cust[],4, FALSE),"Unknown customer")</f>
        <v>Uche Yusuf</v>
      </c>
      <c r="Q158" s="29" t="str">
        <f>_xlfn.IFNA(VLOOKUP(Sales[[#This Row],[customer_id]], Cust[], 10, FALSE), "Unknown customer")</f>
        <v>Wholesale</v>
      </c>
      <c r="R158" s="29">
        <f>SUM(Sales[quantity]*Sales[[#This Row],[unit_price_ngn]]*(1-Sales[[#This Row],[discount_pct]]))</f>
        <v>27500</v>
      </c>
      <c r="S158" s="29">
        <f>Sales[[#This Row],[revenue]]-(Sales[[#This Row],[quantity]]*Sales[[#This Row],[unit_cost_ngn]])</f>
        <v>11000</v>
      </c>
      <c r="T158" s="41" t="str">
        <f>TEXT(Sales[order_date], "yyyy-mm")</f>
        <v>2025-05</v>
      </c>
    </row>
    <row r="159" spans="1:20" ht="15" customHeight="1" x14ac:dyDescent="0.25">
      <c r="A159" s="10" t="s">
        <v>326</v>
      </c>
      <c r="B159" s="11">
        <v>45811</v>
      </c>
      <c r="C159" s="10" t="s">
        <v>63</v>
      </c>
      <c r="D159" s="10" t="s">
        <v>64</v>
      </c>
      <c r="E159" s="10" t="s">
        <v>45</v>
      </c>
      <c r="F159" s="10" t="s">
        <v>101</v>
      </c>
      <c r="G159" s="10" t="s">
        <v>61</v>
      </c>
      <c r="H159" s="10">
        <v>1</v>
      </c>
      <c r="I159" s="10">
        <v>28000</v>
      </c>
      <c r="J159" s="10">
        <v>18500</v>
      </c>
      <c r="K159" s="12">
        <v>0</v>
      </c>
      <c r="L159" s="10">
        <v>2</v>
      </c>
      <c r="M159" s="28" t="s">
        <v>208</v>
      </c>
      <c r="N159" s="29">
        <f>_xlfn.IFNA(VLOOKUP(Sales[customer_id],Cust[],11,FALSE),"Unknown")</f>
        <v>50000</v>
      </c>
      <c r="O159" s="29" t="str">
        <f>_xlfn.IFNA(VLOOKUP(Sales[customer_id], Cust[], 7,FALSE),"Unknown customer")</f>
        <v>Kano</v>
      </c>
      <c r="P159" s="29" t="str">
        <f>_xlfn.IFNA(VLOOKUP(Sales[[#This Row],[customer_id]],Cust[],4, FALSE),"Unknown customer")</f>
        <v>Tunde Ogunleye</v>
      </c>
      <c r="Q159" s="29" t="str">
        <f>_xlfn.IFNA(VLOOKUP(Sales[[#This Row],[customer_id]], Cust[], 10, FALSE), "Unknown customer")</f>
        <v>Retail</v>
      </c>
      <c r="R159" s="29">
        <f>SUM(Sales[quantity]*Sales[[#This Row],[unit_price_ngn]]*(1-Sales[[#This Row],[discount_pct]]))</f>
        <v>28000</v>
      </c>
      <c r="S159" s="29">
        <f>Sales[[#This Row],[revenue]]-(Sales[[#This Row],[quantity]]*Sales[[#This Row],[unit_cost_ngn]])</f>
        <v>9500</v>
      </c>
      <c r="T159" s="41" t="str">
        <f>TEXT(Sales[order_date], "yyyy-mm")</f>
        <v>2025-06</v>
      </c>
    </row>
    <row r="160" spans="1:20" ht="15" customHeight="1" x14ac:dyDescent="0.25">
      <c r="A160" s="10" t="s">
        <v>346</v>
      </c>
      <c r="B160" s="11">
        <v>45824</v>
      </c>
      <c r="C160" s="10" t="s">
        <v>63</v>
      </c>
      <c r="D160" s="10" t="s">
        <v>64</v>
      </c>
      <c r="E160" s="10" t="s">
        <v>45</v>
      </c>
      <c r="F160" s="10" t="s">
        <v>101</v>
      </c>
      <c r="G160" s="10" t="s">
        <v>61</v>
      </c>
      <c r="H160" s="10">
        <v>1</v>
      </c>
      <c r="I160" s="10">
        <v>28000</v>
      </c>
      <c r="J160" s="10">
        <v>18500</v>
      </c>
      <c r="K160" s="12">
        <v>0</v>
      </c>
      <c r="L160" s="10">
        <v>3</v>
      </c>
      <c r="M160" s="28" t="s">
        <v>347</v>
      </c>
      <c r="N160" s="29">
        <f>_xlfn.IFNA(VLOOKUP(Sales[customer_id],Cust[],11,FALSE),"Unknown")</f>
        <v>250000</v>
      </c>
      <c r="O160" s="29" t="str">
        <f>_xlfn.IFNA(VLOOKUP(Sales[customer_id], Cust[], 7,FALSE),"Unknown customer")</f>
        <v>Kano</v>
      </c>
      <c r="P160" s="29" t="str">
        <f>_xlfn.IFNA(VLOOKUP(Sales[[#This Row],[customer_id]],Cust[],4, FALSE),"Unknown customer")</f>
        <v>Funmi Kalu</v>
      </c>
      <c r="Q160" s="29" t="str">
        <f>_xlfn.IFNA(VLOOKUP(Sales[[#This Row],[customer_id]], Cust[], 10, FALSE), "Unknown customer")</f>
        <v>Retail</v>
      </c>
      <c r="R160" s="29">
        <f>SUM(Sales[quantity]*Sales[[#This Row],[unit_price_ngn]]*(1-Sales[[#This Row],[discount_pct]]))</f>
        <v>28000</v>
      </c>
      <c r="S160" s="29">
        <f>Sales[[#This Row],[revenue]]-(Sales[[#This Row],[quantity]]*Sales[[#This Row],[unit_cost_ngn]])</f>
        <v>9500</v>
      </c>
      <c r="T160" s="41" t="str">
        <f>TEXT(Sales[order_date], "yyyy-mm")</f>
        <v>2025-06</v>
      </c>
    </row>
    <row r="161" spans="1:20" ht="15" customHeight="1" x14ac:dyDescent="0.25">
      <c r="A161" s="10" t="s">
        <v>363</v>
      </c>
      <c r="B161" s="11">
        <v>45836</v>
      </c>
      <c r="C161" s="10" t="s">
        <v>63</v>
      </c>
      <c r="D161" s="10" t="s">
        <v>64</v>
      </c>
      <c r="E161" s="10" t="s">
        <v>75</v>
      </c>
      <c r="F161" s="10" t="s">
        <v>35</v>
      </c>
      <c r="G161" s="10" t="s">
        <v>36</v>
      </c>
      <c r="H161" s="10">
        <v>10</v>
      </c>
      <c r="I161" s="10">
        <v>18500</v>
      </c>
      <c r="J161" s="10">
        <v>11800</v>
      </c>
      <c r="K161" s="12">
        <v>0</v>
      </c>
      <c r="L161" s="10">
        <v>3</v>
      </c>
      <c r="M161" s="28" t="s">
        <v>364</v>
      </c>
      <c r="N161" s="29">
        <f>_xlfn.IFNA(VLOOKUP(Sales[customer_id],Cust[],11,FALSE),"Unknown")</f>
        <v>50000</v>
      </c>
      <c r="O161" s="29" t="str">
        <f>_xlfn.IFNA(VLOOKUP(Sales[customer_id], Cust[], 7,FALSE),"Unknown customer")</f>
        <v>Kano</v>
      </c>
      <c r="P161" s="29" t="str">
        <f>_xlfn.IFNA(VLOOKUP(Sales[[#This Row],[customer_id]],Cust[],4, FALSE),"Unknown customer")</f>
        <v>Blessing Ojo</v>
      </c>
      <c r="Q161" s="29" t="str">
        <f>_xlfn.IFNA(VLOOKUP(Sales[[#This Row],[customer_id]], Cust[], 10, FALSE), "Unknown customer")</f>
        <v>Retail</v>
      </c>
      <c r="R161" s="29">
        <f>SUM(Sales[quantity]*Sales[[#This Row],[unit_price_ngn]]*(1-Sales[[#This Row],[discount_pct]]))</f>
        <v>185000</v>
      </c>
      <c r="S161" s="29">
        <f>Sales[[#This Row],[revenue]]-(Sales[[#This Row],[quantity]]*Sales[[#This Row],[unit_cost_ngn]])</f>
        <v>67000</v>
      </c>
      <c r="T161" s="41" t="str">
        <f>TEXT(Sales[order_date], "yyyy-mm")</f>
        <v>2025-06</v>
      </c>
    </row>
    <row r="162" spans="1:20" ht="15" customHeight="1" x14ac:dyDescent="0.25">
      <c r="A162" s="10" t="s">
        <v>370</v>
      </c>
      <c r="B162" s="11">
        <v>45838</v>
      </c>
      <c r="C162" s="10" t="s">
        <v>63</v>
      </c>
      <c r="D162" s="10" t="s">
        <v>64</v>
      </c>
      <c r="E162" s="10" t="s">
        <v>75</v>
      </c>
      <c r="F162" s="10" t="s">
        <v>60</v>
      </c>
      <c r="G162" s="10" t="s">
        <v>61</v>
      </c>
      <c r="H162" s="10">
        <v>4</v>
      </c>
      <c r="I162" s="10">
        <v>12000</v>
      </c>
      <c r="J162" s="10">
        <v>7200</v>
      </c>
      <c r="K162" s="12">
        <v>0</v>
      </c>
      <c r="L162" s="10">
        <v>7</v>
      </c>
      <c r="M162" s="28" t="s">
        <v>347</v>
      </c>
      <c r="N162" s="29">
        <f>_xlfn.IFNA(VLOOKUP(Sales[customer_id],Cust[],11,FALSE),"Unknown")</f>
        <v>250000</v>
      </c>
      <c r="O162" s="29" t="str">
        <f>_xlfn.IFNA(VLOOKUP(Sales[customer_id], Cust[], 7,FALSE),"Unknown customer")</f>
        <v>Kano</v>
      </c>
      <c r="P162" s="29" t="str">
        <f>_xlfn.IFNA(VLOOKUP(Sales[[#This Row],[customer_id]],Cust[],4, FALSE),"Unknown customer")</f>
        <v>Funmi Kalu</v>
      </c>
      <c r="Q162" s="29" t="str">
        <f>_xlfn.IFNA(VLOOKUP(Sales[[#This Row],[customer_id]], Cust[], 10, FALSE), "Unknown customer")</f>
        <v>Retail</v>
      </c>
      <c r="R162" s="29">
        <f>SUM(Sales[quantity]*Sales[[#This Row],[unit_price_ngn]]*(1-Sales[[#This Row],[discount_pct]]))</f>
        <v>48000</v>
      </c>
      <c r="S162" s="29">
        <f>Sales[[#This Row],[revenue]]-(Sales[[#This Row],[quantity]]*Sales[[#This Row],[unit_cost_ngn]])</f>
        <v>19200</v>
      </c>
      <c r="T162" s="41" t="str">
        <f>TEXT(Sales[order_date], "yyyy-mm")</f>
        <v>2025-06</v>
      </c>
    </row>
    <row r="163" spans="1:20" ht="15" customHeight="1" x14ac:dyDescent="0.25">
      <c r="A163" s="10" t="s">
        <v>392</v>
      </c>
      <c r="B163" s="11">
        <v>45855</v>
      </c>
      <c r="C163" s="10" t="s">
        <v>63</v>
      </c>
      <c r="D163" s="10" t="s">
        <v>64</v>
      </c>
      <c r="E163" s="10" t="s">
        <v>34</v>
      </c>
      <c r="F163" s="10" t="s">
        <v>72</v>
      </c>
      <c r="G163" s="10" t="s">
        <v>47</v>
      </c>
      <c r="H163" s="10">
        <v>1</v>
      </c>
      <c r="I163" s="10">
        <v>46000</v>
      </c>
      <c r="J163" s="10">
        <v>39000</v>
      </c>
      <c r="K163" s="12">
        <v>0.05</v>
      </c>
      <c r="L163" s="10">
        <v>2</v>
      </c>
      <c r="M163" s="28" t="s">
        <v>208</v>
      </c>
      <c r="N163" s="29">
        <f>_xlfn.IFNA(VLOOKUP(Sales[customer_id],Cust[],11,FALSE),"Unknown")</f>
        <v>50000</v>
      </c>
      <c r="O163" s="29" t="str">
        <f>_xlfn.IFNA(VLOOKUP(Sales[customer_id], Cust[], 7,FALSE),"Unknown customer")</f>
        <v>Kano</v>
      </c>
      <c r="P163" s="29" t="str">
        <f>_xlfn.IFNA(VLOOKUP(Sales[[#This Row],[customer_id]],Cust[],4, FALSE),"Unknown customer")</f>
        <v>Tunde Ogunleye</v>
      </c>
      <c r="Q163" s="29" t="str">
        <f>_xlfn.IFNA(VLOOKUP(Sales[[#This Row],[customer_id]], Cust[], 10, FALSE), "Unknown customer")</f>
        <v>Retail</v>
      </c>
      <c r="R163" s="29">
        <f>SUM(Sales[quantity]*Sales[[#This Row],[unit_price_ngn]]*(1-Sales[[#This Row],[discount_pct]]))</f>
        <v>43700</v>
      </c>
      <c r="S163" s="29">
        <f>Sales[[#This Row],[revenue]]-(Sales[[#This Row],[quantity]]*Sales[[#This Row],[unit_cost_ngn]])</f>
        <v>4700</v>
      </c>
      <c r="T163" s="41" t="str">
        <f>TEXT(Sales[order_date], "yyyy-mm")</f>
        <v>2025-07</v>
      </c>
    </row>
    <row r="164" spans="1:20" ht="15" customHeight="1" x14ac:dyDescent="0.25">
      <c r="A164" s="10" t="s">
        <v>393</v>
      </c>
      <c r="B164" s="11">
        <v>45856</v>
      </c>
      <c r="C164" s="10" t="s">
        <v>63</v>
      </c>
      <c r="D164" s="10" t="s">
        <v>64</v>
      </c>
      <c r="E164" s="10" t="s">
        <v>45</v>
      </c>
      <c r="F164" s="10" t="s">
        <v>35</v>
      </c>
      <c r="G164" s="10" t="s">
        <v>36</v>
      </c>
      <c r="H164" s="10">
        <v>2</v>
      </c>
      <c r="I164" s="10">
        <v>18500</v>
      </c>
      <c r="J164" s="10">
        <v>11800</v>
      </c>
      <c r="K164" s="12">
        <v>0.05</v>
      </c>
      <c r="L164" s="10">
        <v>1</v>
      </c>
      <c r="M164" s="28" t="s">
        <v>347</v>
      </c>
      <c r="N164" s="29">
        <f>_xlfn.IFNA(VLOOKUP(Sales[customer_id],Cust[],11,FALSE),"Unknown")</f>
        <v>250000</v>
      </c>
      <c r="O164" s="29" t="str">
        <f>_xlfn.IFNA(VLOOKUP(Sales[customer_id], Cust[], 7,FALSE),"Unknown customer")</f>
        <v>Kano</v>
      </c>
      <c r="P164" s="29" t="str">
        <f>_xlfn.IFNA(VLOOKUP(Sales[[#This Row],[customer_id]],Cust[],4, FALSE),"Unknown customer")</f>
        <v>Funmi Kalu</v>
      </c>
      <c r="Q164" s="29" t="str">
        <f>_xlfn.IFNA(VLOOKUP(Sales[[#This Row],[customer_id]], Cust[], 10, FALSE), "Unknown customer")</f>
        <v>Retail</v>
      </c>
      <c r="R164" s="29">
        <f>SUM(Sales[quantity]*Sales[[#This Row],[unit_price_ngn]]*(1-Sales[[#This Row],[discount_pct]]))</f>
        <v>35150</v>
      </c>
      <c r="S164" s="29">
        <f>Sales[[#This Row],[revenue]]-(Sales[[#This Row],[quantity]]*Sales[[#This Row],[unit_cost_ngn]])</f>
        <v>11550</v>
      </c>
      <c r="T164" s="41" t="str">
        <f>TEXT(Sales[order_date], "yyyy-mm")</f>
        <v>2025-07</v>
      </c>
    </row>
    <row r="165" spans="1:20" ht="15" customHeight="1" x14ac:dyDescent="0.25">
      <c r="A165" s="10" t="s">
        <v>397</v>
      </c>
      <c r="B165" s="11">
        <v>45861</v>
      </c>
      <c r="C165" s="10" t="s">
        <v>63</v>
      </c>
      <c r="D165" s="10" t="s">
        <v>64</v>
      </c>
      <c r="E165" s="10" t="s">
        <v>75</v>
      </c>
      <c r="F165" s="10" t="s">
        <v>88</v>
      </c>
      <c r="G165" s="10" t="s">
        <v>89</v>
      </c>
      <c r="H165" s="10">
        <v>1</v>
      </c>
      <c r="I165" s="10">
        <v>6800</v>
      </c>
      <c r="J165" s="10">
        <v>3900</v>
      </c>
      <c r="K165" s="12">
        <v>0</v>
      </c>
      <c r="L165" s="10">
        <v>3</v>
      </c>
      <c r="M165" s="28" t="s">
        <v>179</v>
      </c>
      <c r="N165" s="29">
        <f>_xlfn.IFNA(VLOOKUP(Sales[customer_id],Cust[],11,FALSE),"Unknown")</f>
        <v>150000</v>
      </c>
      <c r="O165" s="29" t="str">
        <f>_xlfn.IFNA(VLOOKUP(Sales[customer_id], Cust[], 7,FALSE),"Unknown customer")</f>
        <v>Kano</v>
      </c>
      <c r="P165" s="29" t="str">
        <f>_xlfn.IFNA(VLOOKUP(Sales[[#This Row],[customer_id]],Cust[],4, FALSE),"Unknown customer")</f>
        <v>Halima Chukwu</v>
      </c>
      <c r="Q165" s="29" t="str">
        <f>_xlfn.IFNA(VLOOKUP(Sales[[#This Row],[customer_id]], Cust[], 10, FALSE), "Unknown customer")</f>
        <v>Wholesale</v>
      </c>
      <c r="R165" s="29">
        <f>SUM(Sales[quantity]*Sales[[#This Row],[unit_price_ngn]]*(1-Sales[[#This Row],[discount_pct]]))</f>
        <v>6800</v>
      </c>
      <c r="S165" s="29">
        <f>Sales[[#This Row],[revenue]]-(Sales[[#This Row],[quantity]]*Sales[[#This Row],[unit_cost_ngn]])</f>
        <v>2900</v>
      </c>
      <c r="T165" s="41" t="str">
        <f>TEXT(Sales[order_date], "yyyy-mm")</f>
        <v>2025-07</v>
      </c>
    </row>
    <row r="166" spans="1:20" ht="15" customHeight="1" x14ac:dyDescent="0.25">
      <c r="A166" s="10" t="s">
        <v>406</v>
      </c>
      <c r="B166" s="11">
        <v>45867</v>
      </c>
      <c r="C166" s="10" t="s">
        <v>63</v>
      </c>
      <c r="D166" s="10" t="s">
        <v>64</v>
      </c>
      <c r="E166" s="10" t="s">
        <v>45</v>
      </c>
      <c r="F166" s="10" t="s">
        <v>78</v>
      </c>
      <c r="G166" s="10" t="s">
        <v>36</v>
      </c>
      <c r="H166" s="10">
        <v>3</v>
      </c>
      <c r="I166" s="10">
        <v>22000</v>
      </c>
      <c r="J166" s="10">
        <v>13800</v>
      </c>
      <c r="K166" s="12">
        <v>0</v>
      </c>
      <c r="L166" s="10">
        <v>1</v>
      </c>
      <c r="M166" s="28" t="s">
        <v>364</v>
      </c>
      <c r="N166" s="29">
        <f>_xlfn.IFNA(VLOOKUP(Sales[customer_id],Cust[],11,FALSE),"Unknown")</f>
        <v>50000</v>
      </c>
      <c r="O166" s="29" t="str">
        <f>_xlfn.IFNA(VLOOKUP(Sales[customer_id], Cust[], 7,FALSE),"Unknown customer")</f>
        <v>Kano</v>
      </c>
      <c r="P166" s="29" t="str">
        <f>_xlfn.IFNA(VLOOKUP(Sales[[#This Row],[customer_id]],Cust[],4, FALSE),"Unknown customer")</f>
        <v>Blessing Ojo</v>
      </c>
      <c r="Q166" s="29" t="str">
        <f>_xlfn.IFNA(VLOOKUP(Sales[[#This Row],[customer_id]], Cust[], 10, FALSE), "Unknown customer")</f>
        <v>Retail</v>
      </c>
      <c r="R166" s="29">
        <f>SUM(Sales[quantity]*Sales[[#This Row],[unit_price_ngn]]*(1-Sales[[#This Row],[discount_pct]]))</f>
        <v>66000</v>
      </c>
      <c r="S166" s="29">
        <f>Sales[[#This Row],[revenue]]-(Sales[[#This Row],[quantity]]*Sales[[#This Row],[unit_cost_ngn]])</f>
        <v>24600</v>
      </c>
      <c r="T166" s="41" t="str">
        <f>TEXT(Sales[order_date], "yyyy-mm")</f>
        <v>2025-07</v>
      </c>
    </row>
    <row r="167" spans="1:20" ht="15" customHeight="1" x14ac:dyDescent="0.25">
      <c r="A167" s="10" t="s">
        <v>420</v>
      </c>
      <c r="B167" s="11">
        <v>45876</v>
      </c>
      <c r="C167" s="10" t="s">
        <v>63</v>
      </c>
      <c r="D167" s="10" t="s">
        <v>64</v>
      </c>
      <c r="E167" s="10" t="s">
        <v>34</v>
      </c>
      <c r="F167" s="10" t="s">
        <v>101</v>
      </c>
      <c r="G167" s="10" t="s">
        <v>61</v>
      </c>
      <c r="H167" s="10">
        <v>2</v>
      </c>
      <c r="I167" s="10">
        <v>28000</v>
      </c>
      <c r="J167" s="10">
        <v>18500</v>
      </c>
      <c r="K167" s="12">
        <v>0.05</v>
      </c>
      <c r="L167" s="10">
        <v>4</v>
      </c>
      <c r="M167" s="28" t="s">
        <v>94</v>
      </c>
      <c r="N167" s="29">
        <f>_xlfn.IFNA(VLOOKUP(Sales[customer_id],Cust[],11,FALSE),"Unknown")</f>
        <v>250000</v>
      </c>
      <c r="O167" s="29" t="str">
        <f>_xlfn.IFNA(VLOOKUP(Sales[customer_id], Cust[], 7,FALSE),"Unknown customer")</f>
        <v>Kano</v>
      </c>
      <c r="P167" s="29" t="str">
        <f>_xlfn.IFNA(VLOOKUP(Sales[[#This Row],[customer_id]],Cust[],4, FALSE),"Unknown customer")</f>
        <v>Gbenga Fashola</v>
      </c>
      <c r="Q167" s="29" t="str">
        <f>_xlfn.IFNA(VLOOKUP(Sales[[#This Row],[customer_id]], Cust[], 10, FALSE), "Unknown customer")</f>
        <v>Corporate</v>
      </c>
      <c r="R167" s="29">
        <f>SUM(Sales[quantity]*Sales[[#This Row],[unit_price_ngn]]*(1-Sales[[#This Row],[discount_pct]]))</f>
        <v>53200</v>
      </c>
      <c r="S167" s="29">
        <f>Sales[[#This Row],[revenue]]-(Sales[[#This Row],[quantity]]*Sales[[#This Row],[unit_cost_ngn]])</f>
        <v>16200</v>
      </c>
      <c r="T167" s="41" t="str">
        <f>TEXT(Sales[order_date], "yyyy-mm")</f>
        <v>2025-08</v>
      </c>
    </row>
    <row r="168" spans="1:20" ht="15" customHeight="1" x14ac:dyDescent="0.25">
      <c r="A168" s="10" t="s">
        <v>422</v>
      </c>
      <c r="B168" s="11">
        <v>45879</v>
      </c>
      <c r="C168" s="10" t="s">
        <v>63</v>
      </c>
      <c r="D168" s="10" t="s">
        <v>64</v>
      </c>
      <c r="E168" s="10" t="s">
        <v>45</v>
      </c>
      <c r="F168" s="10" t="s">
        <v>199</v>
      </c>
      <c r="G168" s="10" t="s">
        <v>36</v>
      </c>
      <c r="H168" s="10">
        <v>1</v>
      </c>
      <c r="I168" s="10">
        <v>15500</v>
      </c>
      <c r="J168" s="10">
        <v>9900</v>
      </c>
      <c r="K168" s="12">
        <v>0</v>
      </c>
      <c r="L168" s="10">
        <v>5</v>
      </c>
      <c r="M168" s="28" t="s">
        <v>423</v>
      </c>
      <c r="N168" s="29">
        <f>_xlfn.IFNA(VLOOKUP(Sales[customer_id],Cust[],11,FALSE),"Unknown")</f>
        <v>250000</v>
      </c>
      <c r="O168" s="29" t="str">
        <f>_xlfn.IFNA(VLOOKUP(Sales[customer_id], Cust[], 7,FALSE),"Unknown customer")</f>
        <v>Kano</v>
      </c>
      <c r="P168" s="29" t="str">
        <f>_xlfn.IFNA(VLOOKUP(Sales[[#This Row],[customer_id]],Cust[],4, FALSE),"Unknown customer")</f>
        <v>Ijeoma Nnamdi</v>
      </c>
      <c r="Q168" s="29" t="str">
        <f>_xlfn.IFNA(VLOOKUP(Sales[[#This Row],[customer_id]], Cust[], 10, FALSE), "Unknown customer")</f>
        <v>Corporate</v>
      </c>
      <c r="R168" s="29">
        <f>SUM(Sales[quantity]*Sales[[#This Row],[unit_price_ngn]]*(1-Sales[[#This Row],[discount_pct]]))</f>
        <v>15500</v>
      </c>
      <c r="S168" s="29">
        <f>Sales[[#This Row],[revenue]]-(Sales[[#This Row],[quantity]]*Sales[[#This Row],[unit_cost_ngn]])</f>
        <v>5600</v>
      </c>
      <c r="T168" s="41" t="str">
        <f>TEXT(Sales[order_date], "yyyy-mm")</f>
        <v>2025-08</v>
      </c>
    </row>
    <row r="169" spans="1:20" ht="15" customHeight="1" x14ac:dyDescent="0.25">
      <c r="A169" s="10" t="s">
        <v>425</v>
      </c>
      <c r="B169" s="11">
        <v>45880</v>
      </c>
      <c r="C169" s="10" t="s">
        <v>63</v>
      </c>
      <c r="D169" s="10" t="s">
        <v>64</v>
      </c>
      <c r="E169" s="10" t="s">
        <v>45</v>
      </c>
      <c r="F169" s="10" t="s">
        <v>69</v>
      </c>
      <c r="G169" s="10" t="s">
        <v>66</v>
      </c>
      <c r="H169" s="10">
        <v>2</v>
      </c>
      <c r="I169" s="10">
        <v>32000</v>
      </c>
      <c r="J169" s="10">
        <v>21000</v>
      </c>
      <c r="K169" s="12">
        <v>0</v>
      </c>
      <c r="L169" s="10">
        <v>3</v>
      </c>
      <c r="M169" s="28" t="s">
        <v>181</v>
      </c>
      <c r="N169" s="29">
        <f>_xlfn.IFNA(VLOOKUP(Sales[customer_id],Cust[],11,FALSE),"Unknown")</f>
        <v>500000</v>
      </c>
      <c r="O169" s="29" t="str">
        <f>_xlfn.IFNA(VLOOKUP(Sales[customer_id], Cust[], 7,FALSE),"Unknown customer")</f>
        <v>Kano</v>
      </c>
      <c r="P169" s="29" t="str">
        <f>_xlfn.IFNA(VLOOKUP(Sales[[#This Row],[customer_id]],Cust[],4, FALSE),"Unknown customer")</f>
        <v>Chidi Mohammed</v>
      </c>
      <c r="Q169" s="29" t="str">
        <f>_xlfn.IFNA(VLOOKUP(Sales[[#This Row],[customer_id]], Cust[], 10, FALSE), "Unknown customer")</f>
        <v>Corporate</v>
      </c>
      <c r="R169" s="29">
        <f>SUM(Sales[quantity]*Sales[[#This Row],[unit_price_ngn]]*(1-Sales[[#This Row],[discount_pct]]))</f>
        <v>64000</v>
      </c>
      <c r="S169" s="29">
        <f>Sales[[#This Row],[revenue]]-(Sales[[#This Row],[quantity]]*Sales[[#This Row],[unit_cost_ngn]])</f>
        <v>22000</v>
      </c>
      <c r="T169" s="41" t="str">
        <f>TEXT(Sales[order_date], "yyyy-mm")</f>
        <v>2025-08</v>
      </c>
    </row>
    <row r="170" spans="1:20" ht="15" customHeight="1" x14ac:dyDescent="0.25">
      <c r="A170" s="10" t="s">
        <v>447</v>
      </c>
      <c r="B170" s="11">
        <v>45891</v>
      </c>
      <c r="C170" s="10" t="s">
        <v>63</v>
      </c>
      <c r="D170" s="10" t="s">
        <v>64</v>
      </c>
      <c r="E170" s="10" t="s">
        <v>34</v>
      </c>
      <c r="F170" s="10" t="s">
        <v>199</v>
      </c>
      <c r="G170" s="10" t="s">
        <v>36</v>
      </c>
      <c r="H170" s="10">
        <v>1</v>
      </c>
      <c r="I170" s="10">
        <v>15500</v>
      </c>
      <c r="J170" s="10">
        <v>9900</v>
      </c>
      <c r="K170" s="12">
        <v>0</v>
      </c>
      <c r="L170" s="10">
        <v>5</v>
      </c>
      <c r="M170" s="28" t="s">
        <v>319</v>
      </c>
      <c r="N170" s="29">
        <f>_xlfn.IFNA(VLOOKUP(Sales[customer_id],Cust[],11,FALSE),"Unknown")</f>
        <v>50000</v>
      </c>
      <c r="O170" s="29" t="str">
        <f>_xlfn.IFNA(VLOOKUP(Sales[customer_id], Cust[], 7,FALSE),"Unknown customer")</f>
        <v>Kano</v>
      </c>
      <c r="P170" s="29" t="str">
        <f>_xlfn.IFNA(VLOOKUP(Sales[[#This Row],[customer_id]],Cust[],4, FALSE),"Unknown customer")</f>
        <v>Uche Yusuf</v>
      </c>
      <c r="Q170" s="29" t="str">
        <f>_xlfn.IFNA(VLOOKUP(Sales[[#This Row],[customer_id]], Cust[], 10, FALSE), "Unknown customer")</f>
        <v>Wholesale</v>
      </c>
      <c r="R170" s="29">
        <f>SUM(Sales[quantity]*Sales[[#This Row],[unit_price_ngn]]*(1-Sales[[#This Row],[discount_pct]]))</f>
        <v>15500</v>
      </c>
      <c r="S170" s="29">
        <f>Sales[[#This Row],[revenue]]-(Sales[[#This Row],[quantity]]*Sales[[#This Row],[unit_cost_ngn]])</f>
        <v>5600</v>
      </c>
      <c r="T170" s="41" t="str">
        <f>TEXT(Sales[order_date], "yyyy-mm")</f>
        <v>2025-08</v>
      </c>
    </row>
    <row r="171" spans="1:20" ht="15" customHeight="1" x14ac:dyDescent="0.25">
      <c r="A171" s="10" t="s">
        <v>455</v>
      </c>
      <c r="B171" s="11">
        <v>45899</v>
      </c>
      <c r="C171" s="10" t="s">
        <v>63</v>
      </c>
      <c r="D171" s="10" t="s">
        <v>64</v>
      </c>
      <c r="E171" s="10" t="s">
        <v>45</v>
      </c>
      <c r="F171" s="10" t="s">
        <v>69</v>
      </c>
      <c r="G171" s="10" t="s">
        <v>66</v>
      </c>
      <c r="H171" s="10">
        <v>2</v>
      </c>
      <c r="I171" s="10">
        <v>32000</v>
      </c>
      <c r="J171" s="10">
        <v>21000</v>
      </c>
      <c r="K171" s="12">
        <v>0</v>
      </c>
      <c r="L171" s="10">
        <v>7</v>
      </c>
      <c r="M171" s="28" t="s">
        <v>364</v>
      </c>
      <c r="N171" s="29">
        <f>_xlfn.IFNA(VLOOKUP(Sales[customer_id],Cust[],11,FALSE),"Unknown")</f>
        <v>50000</v>
      </c>
      <c r="O171" s="29" t="str">
        <f>_xlfn.IFNA(VLOOKUP(Sales[customer_id], Cust[], 7,FALSE),"Unknown customer")</f>
        <v>Kano</v>
      </c>
      <c r="P171" s="29" t="str">
        <f>_xlfn.IFNA(VLOOKUP(Sales[[#This Row],[customer_id]],Cust[],4, FALSE),"Unknown customer")</f>
        <v>Blessing Ojo</v>
      </c>
      <c r="Q171" s="29" t="str">
        <f>_xlfn.IFNA(VLOOKUP(Sales[[#This Row],[customer_id]], Cust[], 10, FALSE), "Unknown customer")</f>
        <v>Retail</v>
      </c>
      <c r="R171" s="29">
        <f>SUM(Sales[quantity]*Sales[[#This Row],[unit_price_ngn]]*(1-Sales[[#This Row],[discount_pct]]))</f>
        <v>64000</v>
      </c>
      <c r="S171" s="29">
        <f>Sales[[#This Row],[revenue]]-(Sales[[#This Row],[quantity]]*Sales[[#This Row],[unit_cost_ngn]])</f>
        <v>22000</v>
      </c>
      <c r="T171" s="41" t="str">
        <f>TEXT(Sales[order_date], "yyyy-mm")</f>
        <v>2025-08</v>
      </c>
    </row>
    <row r="172" spans="1:20" ht="15" customHeight="1" x14ac:dyDescent="0.25">
      <c r="A172" s="10" t="s">
        <v>458</v>
      </c>
      <c r="B172" s="11">
        <v>45899</v>
      </c>
      <c r="C172" s="10" t="s">
        <v>63</v>
      </c>
      <c r="D172" s="10" t="s">
        <v>64</v>
      </c>
      <c r="E172" s="10" t="s">
        <v>56</v>
      </c>
      <c r="F172" s="10" t="s">
        <v>199</v>
      </c>
      <c r="G172" s="10" t="s">
        <v>36</v>
      </c>
      <c r="H172" s="10">
        <v>4</v>
      </c>
      <c r="I172" s="10">
        <v>15500</v>
      </c>
      <c r="J172" s="10">
        <v>9900</v>
      </c>
      <c r="K172" s="12">
        <v>0</v>
      </c>
      <c r="L172" s="10">
        <v>5</v>
      </c>
      <c r="M172" s="28" t="s">
        <v>177</v>
      </c>
      <c r="N172" s="29">
        <f>_xlfn.IFNA(VLOOKUP(Sales[customer_id],Cust[],11,FALSE),"Unknown")</f>
        <v>100000</v>
      </c>
      <c r="O172" s="29" t="str">
        <f>_xlfn.IFNA(VLOOKUP(Sales[customer_id], Cust[], 7,FALSE),"Unknown customer")</f>
        <v>Kano</v>
      </c>
      <c r="P172" s="29" t="str">
        <f>_xlfn.IFNA(VLOOKUP(Sales[[#This Row],[customer_id]],Cust[],4, FALSE),"Unknown customer")</f>
        <v>Hauwa Okafor</v>
      </c>
      <c r="Q172" s="29" t="str">
        <f>_xlfn.IFNA(VLOOKUP(Sales[[#This Row],[customer_id]], Cust[], 10, FALSE), "Unknown customer")</f>
        <v>Wholesale</v>
      </c>
      <c r="R172" s="29">
        <f>SUM(Sales[quantity]*Sales[[#This Row],[unit_price_ngn]]*(1-Sales[[#This Row],[discount_pct]]))</f>
        <v>62000</v>
      </c>
      <c r="S172" s="29">
        <f>Sales[[#This Row],[revenue]]-(Sales[[#This Row],[quantity]]*Sales[[#This Row],[unit_cost_ngn]])</f>
        <v>22400</v>
      </c>
      <c r="T172" s="41" t="str">
        <f>TEXT(Sales[order_date], "yyyy-mm")</f>
        <v>2025-08</v>
      </c>
    </row>
    <row r="173" spans="1:20" ht="15" customHeight="1" x14ac:dyDescent="0.25">
      <c r="A173" s="10" t="s">
        <v>460</v>
      </c>
      <c r="B173" s="11">
        <v>45900</v>
      </c>
      <c r="C173" s="10" t="s">
        <v>63</v>
      </c>
      <c r="D173" s="10" t="s">
        <v>64</v>
      </c>
      <c r="E173" s="10" t="s">
        <v>34</v>
      </c>
      <c r="F173" s="10" t="s">
        <v>50</v>
      </c>
      <c r="G173" s="10" t="s">
        <v>51</v>
      </c>
      <c r="H173" s="10">
        <v>8</v>
      </c>
      <c r="I173" s="10">
        <v>41000</v>
      </c>
      <c r="J173" s="10">
        <v>25000</v>
      </c>
      <c r="K173" s="12">
        <v>0.1</v>
      </c>
      <c r="L173" s="10">
        <v>2</v>
      </c>
      <c r="M173" s="28" t="s">
        <v>179</v>
      </c>
      <c r="N173" s="29">
        <f>_xlfn.IFNA(VLOOKUP(Sales[customer_id],Cust[],11,FALSE),"Unknown")</f>
        <v>150000</v>
      </c>
      <c r="O173" s="29" t="str">
        <f>_xlfn.IFNA(VLOOKUP(Sales[customer_id], Cust[], 7,FALSE),"Unknown customer")</f>
        <v>Kano</v>
      </c>
      <c r="P173" s="29" t="str">
        <f>_xlfn.IFNA(VLOOKUP(Sales[[#This Row],[customer_id]],Cust[],4, FALSE),"Unknown customer")</f>
        <v>Halima Chukwu</v>
      </c>
      <c r="Q173" s="29" t="str">
        <f>_xlfn.IFNA(VLOOKUP(Sales[[#This Row],[customer_id]], Cust[], 10, FALSE), "Unknown customer")</f>
        <v>Wholesale</v>
      </c>
      <c r="R173" s="29">
        <f>SUM(Sales[quantity]*Sales[[#This Row],[unit_price_ngn]]*(1-Sales[[#This Row],[discount_pct]]))</f>
        <v>295200</v>
      </c>
      <c r="S173" s="29">
        <f>Sales[[#This Row],[revenue]]-(Sales[[#This Row],[quantity]]*Sales[[#This Row],[unit_cost_ngn]])</f>
        <v>95200</v>
      </c>
      <c r="T173" s="41" t="str">
        <f>TEXT(Sales[order_date], "yyyy-mm")</f>
        <v>2025-08</v>
      </c>
    </row>
    <row r="174" spans="1:20" ht="15" customHeight="1" x14ac:dyDescent="0.25">
      <c r="A174" s="10" t="s">
        <v>467</v>
      </c>
      <c r="B174" s="11">
        <v>45915</v>
      </c>
      <c r="C174" s="10" t="s">
        <v>63</v>
      </c>
      <c r="D174" s="10" t="s">
        <v>64</v>
      </c>
      <c r="E174" s="10" t="s">
        <v>45</v>
      </c>
      <c r="F174" s="10" t="s">
        <v>35</v>
      </c>
      <c r="G174" s="10" t="s">
        <v>36</v>
      </c>
      <c r="H174" s="10">
        <v>2</v>
      </c>
      <c r="I174" s="10">
        <v>18500</v>
      </c>
      <c r="J174" s="10">
        <v>11800</v>
      </c>
      <c r="K174" s="12">
        <v>0</v>
      </c>
      <c r="L174" s="10">
        <v>4</v>
      </c>
      <c r="M174" s="28" t="s">
        <v>319</v>
      </c>
      <c r="N174" s="29">
        <f>_xlfn.IFNA(VLOOKUP(Sales[customer_id],Cust[],11,FALSE),"Unknown")</f>
        <v>50000</v>
      </c>
      <c r="O174" s="29" t="str">
        <f>_xlfn.IFNA(VLOOKUP(Sales[customer_id], Cust[], 7,FALSE),"Unknown customer")</f>
        <v>Kano</v>
      </c>
      <c r="P174" s="29" t="str">
        <f>_xlfn.IFNA(VLOOKUP(Sales[[#This Row],[customer_id]],Cust[],4, FALSE),"Unknown customer")</f>
        <v>Uche Yusuf</v>
      </c>
      <c r="Q174" s="29" t="str">
        <f>_xlfn.IFNA(VLOOKUP(Sales[[#This Row],[customer_id]], Cust[], 10, FALSE), "Unknown customer")</f>
        <v>Wholesale</v>
      </c>
      <c r="R174" s="29">
        <f>SUM(Sales[quantity]*Sales[[#This Row],[unit_price_ngn]]*(1-Sales[[#This Row],[discount_pct]]))</f>
        <v>37000</v>
      </c>
      <c r="S174" s="29">
        <f>Sales[[#This Row],[revenue]]-(Sales[[#This Row],[quantity]]*Sales[[#This Row],[unit_cost_ngn]])</f>
        <v>13400</v>
      </c>
      <c r="T174" s="41" t="str">
        <f>TEXT(Sales[order_date], "yyyy-mm")</f>
        <v>2025-09</v>
      </c>
    </row>
    <row r="175" spans="1:20" ht="15" customHeight="1" x14ac:dyDescent="0.25">
      <c r="A175" s="10" t="s">
        <v>474</v>
      </c>
      <c r="B175" s="11">
        <v>45931</v>
      </c>
      <c r="C175" s="10" t="s">
        <v>63</v>
      </c>
      <c r="D175" s="10" t="s">
        <v>64</v>
      </c>
      <c r="E175" s="10" t="s">
        <v>34</v>
      </c>
      <c r="F175" s="10" t="s">
        <v>199</v>
      </c>
      <c r="G175" s="10" t="s">
        <v>36</v>
      </c>
      <c r="H175" s="10">
        <v>1</v>
      </c>
      <c r="I175" s="10">
        <v>15500</v>
      </c>
      <c r="J175" s="10">
        <v>9900</v>
      </c>
      <c r="K175" s="12">
        <v>0</v>
      </c>
      <c r="L175" s="10">
        <v>1</v>
      </c>
      <c r="M175" s="28" t="s">
        <v>208</v>
      </c>
      <c r="N175" s="29">
        <f>_xlfn.IFNA(VLOOKUP(Sales[customer_id],Cust[],11,FALSE),"Unknown")</f>
        <v>50000</v>
      </c>
      <c r="O175" s="29" t="str">
        <f>_xlfn.IFNA(VLOOKUP(Sales[customer_id], Cust[], 7,FALSE),"Unknown customer")</f>
        <v>Kano</v>
      </c>
      <c r="P175" s="29" t="str">
        <f>_xlfn.IFNA(VLOOKUP(Sales[[#This Row],[customer_id]],Cust[],4, FALSE),"Unknown customer")</f>
        <v>Tunde Ogunleye</v>
      </c>
      <c r="Q175" s="29" t="str">
        <f>_xlfn.IFNA(VLOOKUP(Sales[[#This Row],[customer_id]], Cust[], 10, FALSE), "Unknown customer")</f>
        <v>Retail</v>
      </c>
      <c r="R175" s="29">
        <f>SUM(Sales[quantity]*Sales[[#This Row],[unit_price_ngn]]*(1-Sales[[#This Row],[discount_pct]]))</f>
        <v>15500</v>
      </c>
      <c r="S175" s="29">
        <f>Sales[[#This Row],[revenue]]-(Sales[[#This Row],[quantity]]*Sales[[#This Row],[unit_cost_ngn]])</f>
        <v>5600</v>
      </c>
      <c r="T175" s="41" t="str">
        <f>TEXT(Sales[order_date], "yyyy-mm")</f>
        <v>2025-10</v>
      </c>
    </row>
    <row r="176" spans="1:20" ht="15" customHeight="1" x14ac:dyDescent="0.25">
      <c r="A176" s="10" t="s">
        <v>482</v>
      </c>
      <c r="B176" s="11">
        <v>45941</v>
      </c>
      <c r="C176" s="10" t="s">
        <v>63</v>
      </c>
      <c r="D176" s="10" t="s">
        <v>64</v>
      </c>
      <c r="E176" s="10" t="s">
        <v>34</v>
      </c>
      <c r="F176" s="10" t="s">
        <v>69</v>
      </c>
      <c r="G176" s="10" t="s">
        <v>66</v>
      </c>
      <c r="H176" s="10">
        <v>5</v>
      </c>
      <c r="I176" s="10">
        <v>32000</v>
      </c>
      <c r="J176" s="10">
        <v>21000</v>
      </c>
      <c r="K176" s="12">
        <v>0.05</v>
      </c>
      <c r="L176" s="10">
        <v>4</v>
      </c>
      <c r="M176" s="28" t="s">
        <v>94</v>
      </c>
      <c r="N176" s="29">
        <f>_xlfn.IFNA(VLOOKUP(Sales[customer_id],Cust[],11,FALSE),"Unknown")</f>
        <v>250000</v>
      </c>
      <c r="O176" s="29" t="str">
        <f>_xlfn.IFNA(VLOOKUP(Sales[customer_id], Cust[], 7,FALSE),"Unknown customer")</f>
        <v>Kano</v>
      </c>
      <c r="P176" s="29" t="str">
        <f>_xlfn.IFNA(VLOOKUP(Sales[[#This Row],[customer_id]],Cust[],4, FALSE),"Unknown customer")</f>
        <v>Gbenga Fashola</v>
      </c>
      <c r="Q176" s="29" t="str">
        <f>_xlfn.IFNA(VLOOKUP(Sales[[#This Row],[customer_id]], Cust[], 10, FALSE), "Unknown customer")</f>
        <v>Corporate</v>
      </c>
      <c r="R176" s="29">
        <f>SUM(Sales[quantity]*Sales[[#This Row],[unit_price_ngn]]*(1-Sales[[#This Row],[discount_pct]]))</f>
        <v>152000</v>
      </c>
      <c r="S176" s="29">
        <f>Sales[[#This Row],[revenue]]-(Sales[[#This Row],[quantity]]*Sales[[#This Row],[unit_cost_ngn]])</f>
        <v>47000</v>
      </c>
      <c r="T176" s="41" t="str">
        <f>TEXT(Sales[order_date], "yyyy-mm")</f>
        <v>2025-10</v>
      </c>
    </row>
    <row r="177" spans="1:20" ht="15" customHeight="1" x14ac:dyDescent="0.25">
      <c r="A177" s="10" t="s">
        <v>483</v>
      </c>
      <c r="B177" s="11">
        <v>45941</v>
      </c>
      <c r="C177" s="10" t="s">
        <v>63</v>
      </c>
      <c r="D177" s="10" t="s">
        <v>64</v>
      </c>
      <c r="E177" s="10" t="s">
        <v>34</v>
      </c>
      <c r="F177" s="10" t="s">
        <v>35</v>
      </c>
      <c r="G177" s="10" t="s">
        <v>36</v>
      </c>
      <c r="H177" s="10">
        <v>4</v>
      </c>
      <c r="I177" s="10">
        <v>18500</v>
      </c>
      <c r="J177" s="10">
        <v>11800</v>
      </c>
      <c r="K177" s="12">
        <v>0</v>
      </c>
      <c r="L177" s="10">
        <v>4</v>
      </c>
      <c r="M177" s="28" t="s">
        <v>484</v>
      </c>
      <c r="N177" s="29">
        <f>_xlfn.IFNA(VLOOKUP(Sales[customer_id],Cust[],11,FALSE),"Unknown")</f>
        <v>150000</v>
      </c>
      <c r="O177" s="29" t="str">
        <f>_xlfn.IFNA(VLOOKUP(Sales[customer_id], Cust[], 7,FALSE),"Unknown customer")</f>
        <v>Kano</v>
      </c>
      <c r="P177" s="29" t="str">
        <f>_xlfn.IFNA(VLOOKUP(Sales[[#This Row],[customer_id]],Cust[],4, FALSE),"Unknown customer")</f>
        <v>Yemi Adeyemi</v>
      </c>
      <c r="Q177" s="29" t="str">
        <f>_xlfn.IFNA(VLOOKUP(Sales[[#This Row],[customer_id]], Cust[], 10, FALSE), "Unknown customer")</f>
        <v>Retail</v>
      </c>
      <c r="R177" s="29">
        <f>SUM(Sales[quantity]*Sales[[#This Row],[unit_price_ngn]]*(1-Sales[[#This Row],[discount_pct]]))</f>
        <v>74000</v>
      </c>
      <c r="S177" s="29">
        <f>Sales[[#This Row],[revenue]]-(Sales[[#This Row],[quantity]]*Sales[[#This Row],[unit_cost_ngn]])</f>
        <v>26800</v>
      </c>
      <c r="T177" s="41" t="str">
        <f>TEXT(Sales[order_date], "yyyy-mm")</f>
        <v>2025-10</v>
      </c>
    </row>
    <row r="178" spans="1:20" ht="15" customHeight="1" x14ac:dyDescent="0.25">
      <c r="A178" s="10" t="s">
        <v>486</v>
      </c>
      <c r="B178" s="11">
        <v>45943</v>
      </c>
      <c r="C178" s="10" t="s">
        <v>63</v>
      </c>
      <c r="D178" s="10" t="s">
        <v>64</v>
      </c>
      <c r="E178" s="10" t="s">
        <v>75</v>
      </c>
      <c r="F178" s="10" t="s">
        <v>46</v>
      </c>
      <c r="G178" s="10" t="s">
        <v>47</v>
      </c>
      <c r="H178" s="10">
        <v>1</v>
      </c>
      <c r="I178" s="10">
        <v>9800</v>
      </c>
      <c r="J178" s="10">
        <v>7600</v>
      </c>
      <c r="K178" s="12">
        <v>0</v>
      </c>
      <c r="L178" s="10">
        <v>1</v>
      </c>
      <c r="M178" s="28" t="s">
        <v>179</v>
      </c>
      <c r="N178" s="29">
        <f>_xlfn.IFNA(VLOOKUP(Sales[customer_id],Cust[],11,FALSE),"Unknown")</f>
        <v>150000</v>
      </c>
      <c r="O178" s="29" t="str">
        <f>_xlfn.IFNA(VLOOKUP(Sales[customer_id], Cust[], 7,FALSE),"Unknown customer")</f>
        <v>Kano</v>
      </c>
      <c r="P178" s="29" t="str">
        <f>_xlfn.IFNA(VLOOKUP(Sales[[#This Row],[customer_id]],Cust[],4, FALSE),"Unknown customer")</f>
        <v>Halima Chukwu</v>
      </c>
      <c r="Q178" s="29" t="str">
        <f>_xlfn.IFNA(VLOOKUP(Sales[[#This Row],[customer_id]], Cust[], 10, FALSE), "Unknown customer")</f>
        <v>Wholesale</v>
      </c>
      <c r="R178" s="29">
        <f>SUM(Sales[quantity]*Sales[[#This Row],[unit_price_ngn]]*(1-Sales[[#This Row],[discount_pct]]))</f>
        <v>9800</v>
      </c>
      <c r="S178" s="29">
        <f>Sales[[#This Row],[revenue]]-(Sales[[#This Row],[quantity]]*Sales[[#This Row],[unit_cost_ngn]])</f>
        <v>2200</v>
      </c>
      <c r="T178" s="41" t="str">
        <f>TEXT(Sales[order_date], "yyyy-mm")</f>
        <v>2025-10</v>
      </c>
    </row>
    <row r="179" spans="1:20" ht="15" customHeight="1" x14ac:dyDescent="0.25">
      <c r="A179" s="10" t="s">
        <v>495</v>
      </c>
      <c r="B179" s="11">
        <v>45946</v>
      </c>
      <c r="C179" s="10" t="s">
        <v>63</v>
      </c>
      <c r="D179" s="10" t="s">
        <v>64</v>
      </c>
      <c r="E179" s="10" t="s">
        <v>45</v>
      </c>
      <c r="F179" s="10" t="s">
        <v>57</v>
      </c>
      <c r="G179" s="10" t="s">
        <v>51</v>
      </c>
      <c r="H179" s="10">
        <v>2</v>
      </c>
      <c r="I179" s="10">
        <v>27500</v>
      </c>
      <c r="J179" s="10">
        <v>16500</v>
      </c>
      <c r="K179" s="12">
        <v>0</v>
      </c>
      <c r="L179" s="10">
        <v>3</v>
      </c>
      <c r="M179" s="28" t="s">
        <v>86</v>
      </c>
      <c r="N179" s="29">
        <f>_xlfn.IFNA(VLOOKUP(Sales[customer_id],Cust[],11,FALSE),"Unknown")</f>
        <v>100000</v>
      </c>
      <c r="O179" s="29" t="str">
        <f>_xlfn.IFNA(VLOOKUP(Sales[customer_id], Cust[], 7,FALSE),"Unknown customer")</f>
        <v>Kano</v>
      </c>
      <c r="P179" s="29" t="str">
        <f>_xlfn.IFNA(VLOOKUP(Sales[[#This Row],[customer_id]],Cust[],4, FALSE),"Unknown customer")</f>
        <v>Halima Okonkwo</v>
      </c>
      <c r="Q179" s="29" t="str">
        <f>_xlfn.IFNA(VLOOKUP(Sales[[#This Row],[customer_id]], Cust[], 10, FALSE), "Unknown customer")</f>
        <v>Wholesale</v>
      </c>
      <c r="R179" s="29">
        <f>SUM(Sales[quantity]*Sales[[#This Row],[unit_price_ngn]]*(1-Sales[[#This Row],[discount_pct]]))</f>
        <v>55000</v>
      </c>
      <c r="S179" s="29">
        <f>Sales[[#This Row],[revenue]]-(Sales[[#This Row],[quantity]]*Sales[[#This Row],[unit_cost_ngn]])</f>
        <v>22000</v>
      </c>
      <c r="T179" s="41" t="str">
        <f>TEXT(Sales[order_date], "yyyy-mm")</f>
        <v>2025-10</v>
      </c>
    </row>
    <row r="180" spans="1:20" ht="15" customHeight="1" x14ac:dyDescent="0.25">
      <c r="A180" s="10" t="s">
        <v>508</v>
      </c>
      <c r="B180" s="11">
        <v>45957</v>
      </c>
      <c r="C180" s="10" t="s">
        <v>63</v>
      </c>
      <c r="D180" s="10" t="s">
        <v>64</v>
      </c>
      <c r="E180" s="10" t="s">
        <v>45</v>
      </c>
      <c r="F180" s="10" t="s">
        <v>78</v>
      </c>
      <c r="G180" s="10" t="s">
        <v>36</v>
      </c>
      <c r="H180" s="10">
        <v>3</v>
      </c>
      <c r="I180" s="10">
        <v>22000</v>
      </c>
      <c r="J180" s="10">
        <v>13800</v>
      </c>
      <c r="K180" s="12">
        <v>0.05</v>
      </c>
      <c r="L180" s="10">
        <v>4</v>
      </c>
      <c r="M180" s="28" t="s">
        <v>319</v>
      </c>
      <c r="N180" s="29">
        <f>_xlfn.IFNA(VLOOKUP(Sales[customer_id],Cust[],11,FALSE),"Unknown")</f>
        <v>50000</v>
      </c>
      <c r="O180" s="29" t="str">
        <f>_xlfn.IFNA(VLOOKUP(Sales[customer_id], Cust[], 7,FALSE),"Unknown customer")</f>
        <v>Kano</v>
      </c>
      <c r="P180" s="29" t="str">
        <f>_xlfn.IFNA(VLOOKUP(Sales[[#This Row],[customer_id]],Cust[],4, FALSE),"Unknown customer")</f>
        <v>Uche Yusuf</v>
      </c>
      <c r="Q180" s="29" t="str">
        <f>_xlfn.IFNA(VLOOKUP(Sales[[#This Row],[customer_id]], Cust[], 10, FALSE), "Unknown customer")</f>
        <v>Wholesale</v>
      </c>
      <c r="R180" s="29">
        <f>SUM(Sales[quantity]*Sales[[#This Row],[unit_price_ngn]]*(1-Sales[[#This Row],[discount_pct]]))</f>
        <v>62700</v>
      </c>
      <c r="S180" s="29">
        <f>Sales[[#This Row],[revenue]]-(Sales[[#This Row],[quantity]]*Sales[[#This Row],[unit_cost_ngn]])</f>
        <v>21300</v>
      </c>
      <c r="T180" s="41" t="str">
        <f>TEXT(Sales[order_date], "yyyy-mm")</f>
        <v>2025-10</v>
      </c>
    </row>
    <row r="181" spans="1:20" ht="15" customHeight="1" x14ac:dyDescent="0.25">
      <c r="A181" s="10" t="s">
        <v>513</v>
      </c>
      <c r="B181" s="11">
        <v>45961</v>
      </c>
      <c r="C181" s="10" t="s">
        <v>63</v>
      </c>
      <c r="D181" s="10" t="s">
        <v>64</v>
      </c>
      <c r="E181" s="10" t="s">
        <v>56</v>
      </c>
      <c r="F181" s="10" t="s">
        <v>88</v>
      </c>
      <c r="G181" s="10" t="s">
        <v>89</v>
      </c>
      <c r="H181" s="10">
        <v>1</v>
      </c>
      <c r="I181" s="10">
        <v>6800</v>
      </c>
      <c r="J181" s="10">
        <v>3900</v>
      </c>
      <c r="K181" s="12">
        <v>0</v>
      </c>
      <c r="L181" s="10">
        <v>4</v>
      </c>
      <c r="M181" s="28" t="s">
        <v>115</v>
      </c>
      <c r="N181" s="29">
        <f>_xlfn.IFNA(VLOOKUP(Sales[customer_id],Cust[],11,FALSE),"Unknown")</f>
        <v>500000</v>
      </c>
      <c r="O181" s="29" t="str">
        <f>_xlfn.IFNA(VLOOKUP(Sales[customer_id], Cust[], 7,FALSE),"Unknown customer")</f>
        <v>Kano</v>
      </c>
      <c r="P181" s="29" t="str">
        <f>_xlfn.IFNA(VLOOKUP(Sales[[#This Row],[customer_id]],Cust[],4, FALSE),"Unknown customer")</f>
        <v>Nneka Oyelaran</v>
      </c>
      <c r="Q181" s="29" t="str">
        <f>_xlfn.IFNA(VLOOKUP(Sales[[#This Row],[customer_id]], Cust[], 10, FALSE), "Unknown customer")</f>
        <v>Corporate</v>
      </c>
      <c r="R181" s="29">
        <f>SUM(Sales[quantity]*Sales[[#This Row],[unit_price_ngn]]*(1-Sales[[#This Row],[discount_pct]]))</f>
        <v>6800</v>
      </c>
      <c r="S181" s="29">
        <f>Sales[[#This Row],[revenue]]-(Sales[[#This Row],[quantity]]*Sales[[#This Row],[unit_cost_ngn]])</f>
        <v>2900</v>
      </c>
      <c r="T181" s="41" t="str">
        <f>TEXT(Sales[order_date], "yyyy-mm")</f>
        <v>2025-10</v>
      </c>
    </row>
    <row r="182" spans="1:20" ht="15" customHeight="1" x14ac:dyDescent="0.25">
      <c r="A182" s="10" t="s">
        <v>516</v>
      </c>
      <c r="B182" s="11">
        <v>45964</v>
      </c>
      <c r="C182" s="10" t="s">
        <v>63</v>
      </c>
      <c r="D182" s="10" t="s">
        <v>64</v>
      </c>
      <c r="E182" s="10" t="s">
        <v>75</v>
      </c>
      <c r="F182" s="10" t="s">
        <v>72</v>
      </c>
      <c r="G182" s="10" t="s">
        <v>47</v>
      </c>
      <c r="H182" s="10">
        <v>2</v>
      </c>
      <c r="I182" s="10">
        <v>46000</v>
      </c>
      <c r="J182" s="10">
        <v>39000</v>
      </c>
      <c r="K182" s="12">
        <v>0</v>
      </c>
      <c r="L182" s="10">
        <v>1</v>
      </c>
      <c r="M182" s="28" t="s">
        <v>319</v>
      </c>
      <c r="N182" s="29">
        <f>_xlfn.IFNA(VLOOKUP(Sales[customer_id],Cust[],11,FALSE),"Unknown")</f>
        <v>50000</v>
      </c>
      <c r="O182" s="29" t="str">
        <f>_xlfn.IFNA(VLOOKUP(Sales[customer_id], Cust[], 7,FALSE),"Unknown customer")</f>
        <v>Kano</v>
      </c>
      <c r="P182" s="29" t="str">
        <f>_xlfn.IFNA(VLOOKUP(Sales[[#This Row],[customer_id]],Cust[],4, FALSE),"Unknown customer")</f>
        <v>Uche Yusuf</v>
      </c>
      <c r="Q182" s="29" t="str">
        <f>_xlfn.IFNA(VLOOKUP(Sales[[#This Row],[customer_id]], Cust[], 10, FALSE), "Unknown customer")</f>
        <v>Wholesale</v>
      </c>
      <c r="R182" s="29">
        <f>SUM(Sales[quantity]*Sales[[#This Row],[unit_price_ngn]]*(1-Sales[[#This Row],[discount_pct]]))</f>
        <v>92000</v>
      </c>
      <c r="S182" s="29">
        <f>Sales[[#This Row],[revenue]]-(Sales[[#This Row],[quantity]]*Sales[[#This Row],[unit_cost_ngn]])</f>
        <v>14000</v>
      </c>
      <c r="T182" s="41" t="str">
        <f>TEXT(Sales[order_date], "yyyy-mm")</f>
        <v>2025-11</v>
      </c>
    </row>
    <row r="183" spans="1:20" ht="15" customHeight="1" x14ac:dyDescent="0.25">
      <c r="A183" s="10" t="s">
        <v>523</v>
      </c>
      <c r="B183" s="11">
        <v>45968</v>
      </c>
      <c r="C183" s="10" t="s">
        <v>63</v>
      </c>
      <c r="D183" s="10" t="s">
        <v>64</v>
      </c>
      <c r="E183" s="10" t="s">
        <v>75</v>
      </c>
      <c r="F183" s="10" t="s">
        <v>35</v>
      </c>
      <c r="G183" s="10" t="s">
        <v>36</v>
      </c>
      <c r="H183" s="10">
        <v>2</v>
      </c>
      <c r="I183" s="10">
        <v>18500</v>
      </c>
      <c r="J183" s="10">
        <v>11800</v>
      </c>
      <c r="K183" s="12">
        <v>0</v>
      </c>
      <c r="L183" s="10">
        <v>2</v>
      </c>
      <c r="M183" s="28" t="s">
        <v>197</v>
      </c>
      <c r="N183" s="29">
        <f>_xlfn.IFNA(VLOOKUP(Sales[customer_id],Cust[],11,FALSE),"Unknown")</f>
        <v>500000</v>
      </c>
      <c r="O183" s="29" t="str">
        <f>_xlfn.IFNA(VLOOKUP(Sales[customer_id], Cust[], 7,FALSE),"Unknown customer")</f>
        <v>Kano</v>
      </c>
      <c r="P183" s="29" t="str">
        <f>_xlfn.IFNA(VLOOKUP(Sales[[#This Row],[customer_id]],Cust[],4, FALSE),"Unknown customer")</f>
        <v>Ijeoma Jibril</v>
      </c>
      <c r="Q183" s="29" t="str">
        <f>_xlfn.IFNA(VLOOKUP(Sales[[#This Row],[customer_id]], Cust[], 10, FALSE), "Unknown customer")</f>
        <v>Wholesale</v>
      </c>
      <c r="R183" s="29">
        <f>SUM(Sales[quantity]*Sales[[#This Row],[unit_price_ngn]]*(1-Sales[[#This Row],[discount_pct]]))</f>
        <v>37000</v>
      </c>
      <c r="S183" s="29">
        <f>Sales[[#This Row],[revenue]]-(Sales[[#This Row],[quantity]]*Sales[[#This Row],[unit_cost_ngn]])</f>
        <v>13400</v>
      </c>
      <c r="T183" s="41" t="str">
        <f>TEXT(Sales[order_date], "yyyy-mm")</f>
        <v>2025-11</v>
      </c>
    </row>
    <row r="184" spans="1:20" ht="15" customHeight="1" x14ac:dyDescent="0.25">
      <c r="A184" s="10" t="s">
        <v>526</v>
      </c>
      <c r="B184" s="11">
        <v>45974</v>
      </c>
      <c r="C184" s="10" t="s">
        <v>63</v>
      </c>
      <c r="D184" s="10" t="s">
        <v>64</v>
      </c>
      <c r="E184" s="10" t="s">
        <v>34</v>
      </c>
      <c r="F184" s="10" t="s">
        <v>72</v>
      </c>
      <c r="G184" s="10" t="s">
        <v>47</v>
      </c>
      <c r="H184" s="10">
        <v>2</v>
      </c>
      <c r="I184" s="10">
        <v>46000</v>
      </c>
      <c r="J184" s="10">
        <v>39000</v>
      </c>
      <c r="K184" s="12">
        <v>0</v>
      </c>
      <c r="L184" s="10">
        <v>2</v>
      </c>
      <c r="M184" s="28" t="s">
        <v>94</v>
      </c>
      <c r="N184" s="29">
        <f>_xlfn.IFNA(VLOOKUP(Sales[customer_id],Cust[],11,FALSE),"Unknown")</f>
        <v>250000</v>
      </c>
      <c r="O184" s="29" t="str">
        <f>_xlfn.IFNA(VLOOKUP(Sales[customer_id], Cust[], 7,FALSE),"Unknown customer")</f>
        <v>Kano</v>
      </c>
      <c r="P184" s="29" t="str">
        <f>_xlfn.IFNA(VLOOKUP(Sales[[#This Row],[customer_id]],Cust[],4, FALSE),"Unknown customer")</f>
        <v>Gbenga Fashola</v>
      </c>
      <c r="Q184" s="29" t="str">
        <f>_xlfn.IFNA(VLOOKUP(Sales[[#This Row],[customer_id]], Cust[], 10, FALSE), "Unknown customer")</f>
        <v>Corporate</v>
      </c>
      <c r="R184" s="29">
        <f>SUM(Sales[quantity]*Sales[[#This Row],[unit_price_ngn]]*(1-Sales[[#This Row],[discount_pct]]))</f>
        <v>92000</v>
      </c>
      <c r="S184" s="29">
        <f>Sales[[#This Row],[revenue]]-(Sales[[#This Row],[quantity]]*Sales[[#This Row],[unit_cost_ngn]])</f>
        <v>14000</v>
      </c>
      <c r="T184" s="41" t="str">
        <f>TEXT(Sales[order_date], "yyyy-mm")</f>
        <v>2025-11</v>
      </c>
    </row>
    <row r="185" spans="1:20" ht="15" customHeight="1" x14ac:dyDescent="0.25">
      <c r="A185" s="10" t="s">
        <v>529</v>
      </c>
      <c r="B185" s="11">
        <v>45976</v>
      </c>
      <c r="C185" s="10" t="s">
        <v>63</v>
      </c>
      <c r="D185" s="10" t="s">
        <v>64</v>
      </c>
      <c r="E185" s="10" t="s">
        <v>45</v>
      </c>
      <c r="F185" s="10" t="s">
        <v>46</v>
      </c>
      <c r="G185" s="10" t="s">
        <v>47</v>
      </c>
      <c r="H185" s="10">
        <v>2</v>
      </c>
      <c r="I185" s="10">
        <v>9800</v>
      </c>
      <c r="J185" s="10">
        <v>7600</v>
      </c>
      <c r="K185" s="12">
        <v>0</v>
      </c>
      <c r="L185" s="10">
        <v>1</v>
      </c>
      <c r="M185" s="28" t="s">
        <v>263</v>
      </c>
      <c r="N185" s="29">
        <f>_xlfn.IFNA(VLOOKUP(Sales[customer_id],Cust[],11,FALSE),"Unknown")</f>
        <v>100000</v>
      </c>
      <c r="O185" s="29" t="str">
        <f>_xlfn.IFNA(VLOOKUP(Sales[customer_id], Cust[], 7,FALSE),"Unknown customer")</f>
        <v>Kano</v>
      </c>
      <c r="P185" s="29" t="str">
        <f>_xlfn.IFNA(VLOOKUP(Sales[[#This Row],[customer_id]],Cust[],4, FALSE),"Unknown customer")</f>
        <v>Aisha Eze</v>
      </c>
      <c r="Q185" s="29" t="str">
        <f>_xlfn.IFNA(VLOOKUP(Sales[[#This Row],[customer_id]], Cust[], 10, FALSE), "Unknown customer")</f>
        <v>Retail</v>
      </c>
      <c r="R185" s="29">
        <f>SUM(Sales[quantity]*Sales[[#This Row],[unit_price_ngn]]*(1-Sales[[#This Row],[discount_pct]]))</f>
        <v>19600</v>
      </c>
      <c r="S185" s="29">
        <f>Sales[[#This Row],[revenue]]-(Sales[[#This Row],[quantity]]*Sales[[#This Row],[unit_cost_ngn]])</f>
        <v>4400</v>
      </c>
      <c r="T185" s="41" t="str">
        <f>TEXT(Sales[order_date], "yyyy-mm")</f>
        <v>2025-11</v>
      </c>
    </row>
    <row r="186" spans="1:20" ht="15" customHeight="1" x14ac:dyDescent="0.25">
      <c r="A186" s="10" t="s">
        <v>535</v>
      </c>
      <c r="B186" s="11">
        <v>45980</v>
      </c>
      <c r="C186" s="10" t="s">
        <v>63</v>
      </c>
      <c r="D186" s="10" t="s">
        <v>64</v>
      </c>
      <c r="E186" s="10" t="s">
        <v>56</v>
      </c>
      <c r="F186" s="10" t="s">
        <v>78</v>
      </c>
      <c r="G186" s="10" t="s">
        <v>36</v>
      </c>
      <c r="H186" s="10">
        <v>1</v>
      </c>
      <c r="I186" s="10">
        <v>22000</v>
      </c>
      <c r="J186" s="10">
        <v>13800</v>
      </c>
      <c r="K186" s="12">
        <v>0</v>
      </c>
      <c r="L186" s="10">
        <v>3</v>
      </c>
      <c r="M186" s="28" t="s">
        <v>86</v>
      </c>
      <c r="N186" s="29">
        <f>_xlfn.IFNA(VLOOKUP(Sales[customer_id],Cust[],11,FALSE),"Unknown")</f>
        <v>100000</v>
      </c>
      <c r="O186" s="29" t="str">
        <f>_xlfn.IFNA(VLOOKUP(Sales[customer_id], Cust[], 7,FALSE),"Unknown customer")</f>
        <v>Kano</v>
      </c>
      <c r="P186" s="29" t="str">
        <f>_xlfn.IFNA(VLOOKUP(Sales[[#This Row],[customer_id]],Cust[],4, FALSE),"Unknown customer")</f>
        <v>Halima Okonkwo</v>
      </c>
      <c r="Q186" s="29" t="str">
        <f>_xlfn.IFNA(VLOOKUP(Sales[[#This Row],[customer_id]], Cust[], 10, FALSE), "Unknown customer")</f>
        <v>Wholesale</v>
      </c>
      <c r="R186" s="29">
        <f>SUM(Sales[quantity]*Sales[[#This Row],[unit_price_ngn]]*(1-Sales[[#This Row],[discount_pct]]))</f>
        <v>22000</v>
      </c>
      <c r="S186" s="29">
        <f>Sales[[#This Row],[revenue]]-(Sales[[#This Row],[quantity]]*Sales[[#This Row],[unit_cost_ngn]])</f>
        <v>8200</v>
      </c>
      <c r="T186" s="41" t="str">
        <f>TEXT(Sales[order_date], "yyyy-mm")</f>
        <v>2025-11</v>
      </c>
    </row>
    <row r="187" spans="1:20" ht="15" customHeight="1" x14ac:dyDescent="0.25">
      <c r="A187" s="10" t="s">
        <v>550</v>
      </c>
      <c r="B187" s="11">
        <v>45990</v>
      </c>
      <c r="C187" s="10" t="s">
        <v>63</v>
      </c>
      <c r="D187" s="10" t="s">
        <v>64</v>
      </c>
      <c r="E187" s="10" t="s">
        <v>75</v>
      </c>
      <c r="F187" s="10" t="s">
        <v>35</v>
      </c>
      <c r="G187" s="10" t="s">
        <v>36</v>
      </c>
      <c r="H187" s="10">
        <v>2</v>
      </c>
      <c r="I187" s="10">
        <v>18500</v>
      </c>
      <c r="J187" s="10">
        <v>11800</v>
      </c>
      <c r="K187" s="12">
        <v>0</v>
      </c>
      <c r="L187" s="10">
        <v>2</v>
      </c>
      <c r="M187" s="28" t="s">
        <v>364</v>
      </c>
      <c r="N187" s="29">
        <f>_xlfn.IFNA(VLOOKUP(Sales[customer_id],Cust[],11,FALSE),"Unknown")</f>
        <v>50000</v>
      </c>
      <c r="O187" s="29" t="str">
        <f>_xlfn.IFNA(VLOOKUP(Sales[customer_id], Cust[], 7,FALSE),"Unknown customer")</f>
        <v>Kano</v>
      </c>
      <c r="P187" s="29" t="str">
        <f>_xlfn.IFNA(VLOOKUP(Sales[[#This Row],[customer_id]],Cust[],4, FALSE),"Unknown customer")</f>
        <v>Blessing Ojo</v>
      </c>
      <c r="Q187" s="29" t="str">
        <f>_xlfn.IFNA(VLOOKUP(Sales[[#This Row],[customer_id]], Cust[], 10, FALSE), "Unknown customer")</f>
        <v>Retail</v>
      </c>
      <c r="R187" s="29">
        <f>SUM(Sales[quantity]*Sales[[#This Row],[unit_price_ngn]]*(1-Sales[[#This Row],[discount_pct]]))</f>
        <v>37000</v>
      </c>
      <c r="S187" s="29">
        <f>Sales[[#This Row],[revenue]]-(Sales[[#This Row],[quantity]]*Sales[[#This Row],[unit_cost_ngn]])</f>
        <v>13400</v>
      </c>
      <c r="T187" s="41" t="str">
        <f>TEXT(Sales[order_date], "yyyy-mm")</f>
        <v>2025-11</v>
      </c>
    </row>
    <row r="188" spans="1:20" ht="15" customHeight="1" x14ac:dyDescent="0.25">
      <c r="A188" s="10" t="s">
        <v>551</v>
      </c>
      <c r="B188" s="11">
        <v>45990</v>
      </c>
      <c r="C188" s="10" t="s">
        <v>63</v>
      </c>
      <c r="D188" s="10" t="s">
        <v>64</v>
      </c>
      <c r="E188" s="10" t="s">
        <v>75</v>
      </c>
      <c r="F188" s="10" t="s">
        <v>78</v>
      </c>
      <c r="G188" s="10" t="s">
        <v>36</v>
      </c>
      <c r="H188" s="10">
        <v>11</v>
      </c>
      <c r="I188" s="10">
        <v>22000</v>
      </c>
      <c r="J188" s="10">
        <v>13800</v>
      </c>
      <c r="K188" s="12">
        <v>0</v>
      </c>
      <c r="L188" s="10">
        <v>7</v>
      </c>
      <c r="M188" s="28" t="s">
        <v>552</v>
      </c>
      <c r="N188" s="29">
        <f>_xlfn.IFNA(VLOOKUP(Sales[customer_id],Cust[],11,FALSE),"Unknown")</f>
        <v>150000</v>
      </c>
      <c r="O188" s="29" t="str">
        <f>_xlfn.IFNA(VLOOKUP(Sales[customer_id], Cust[], 7,FALSE),"Unknown customer")</f>
        <v>Kano</v>
      </c>
      <c r="P188" s="29" t="str">
        <f>_xlfn.IFNA(VLOOKUP(Sales[[#This Row],[customer_id]],Cust[],4, FALSE),"Unknown customer")</f>
        <v>Ngozi Oyelaran</v>
      </c>
      <c r="Q188" s="29" t="str">
        <f>_xlfn.IFNA(VLOOKUP(Sales[[#This Row],[customer_id]], Cust[], 10, FALSE), "Unknown customer")</f>
        <v>Retail</v>
      </c>
      <c r="R188" s="29">
        <f>SUM(Sales[quantity]*Sales[[#This Row],[unit_price_ngn]]*(1-Sales[[#This Row],[discount_pct]]))</f>
        <v>242000</v>
      </c>
      <c r="S188" s="29">
        <f>Sales[[#This Row],[revenue]]-(Sales[[#This Row],[quantity]]*Sales[[#This Row],[unit_cost_ngn]])</f>
        <v>90200</v>
      </c>
      <c r="T188" s="41" t="str">
        <f>TEXT(Sales[order_date], "yyyy-mm")</f>
        <v>2025-11</v>
      </c>
    </row>
    <row r="189" spans="1:20" ht="15" customHeight="1" x14ac:dyDescent="0.25">
      <c r="A189" s="10" t="s">
        <v>557</v>
      </c>
      <c r="B189" s="11">
        <v>45994</v>
      </c>
      <c r="C189" s="10" t="s">
        <v>63</v>
      </c>
      <c r="D189" s="10" t="s">
        <v>64</v>
      </c>
      <c r="E189" s="10" t="s">
        <v>45</v>
      </c>
      <c r="F189" s="10" t="s">
        <v>199</v>
      </c>
      <c r="G189" s="10" t="s">
        <v>36</v>
      </c>
      <c r="H189" s="10">
        <v>2</v>
      </c>
      <c r="I189" s="10">
        <v>15500</v>
      </c>
      <c r="J189" s="10">
        <v>9900</v>
      </c>
      <c r="K189" s="12">
        <v>0</v>
      </c>
      <c r="L189" s="10">
        <v>2</v>
      </c>
      <c r="M189" s="28" t="s">
        <v>181</v>
      </c>
      <c r="N189" s="29">
        <f>_xlfn.IFNA(VLOOKUP(Sales[customer_id],Cust[],11,FALSE),"Unknown")</f>
        <v>500000</v>
      </c>
      <c r="O189" s="29" t="str">
        <f>_xlfn.IFNA(VLOOKUP(Sales[customer_id], Cust[], 7,FALSE),"Unknown customer")</f>
        <v>Kano</v>
      </c>
      <c r="P189" s="29" t="str">
        <f>_xlfn.IFNA(VLOOKUP(Sales[[#This Row],[customer_id]],Cust[],4, FALSE),"Unknown customer")</f>
        <v>Chidi Mohammed</v>
      </c>
      <c r="Q189" s="29" t="str">
        <f>_xlfn.IFNA(VLOOKUP(Sales[[#This Row],[customer_id]], Cust[], 10, FALSE), "Unknown customer")</f>
        <v>Corporate</v>
      </c>
      <c r="R189" s="29">
        <f>SUM(Sales[quantity]*Sales[[#This Row],[unit_price_ngn]]*(1-Sales[[#This Row],[discount_pct]]))</f>
        <v>31000</v>
      </c>
      <c r="S189" s="29">
        <f>Sales[[#This Row],[revenue]]-(Sales[[#This Row],[quantity]]*Sales[[#This Row],[unit_cost_ngn]])</f>
        <v>11200</v>
      </c>
      <c r="T189" s="41" t="str">
        <f>TEXT(Sales[order_date], "yyyy-mm")</f>
        <v>2025-12</v>
      </c>
    </row>
    <row r="190" spans="1:20" ht="15" customHeight="1" x14ac:dyDescent="0.25">
      <c r="A190" s="10" t="s">
        <v>561</v>
      </c>
      <c r="B190" s="11">
        <v>45998</v>
      </c>
      <c r="C190" s="10" t="s">
        <v>63</v>
      </c>
      <c r="D190" s="10" t="s">
        <v>64</v>
      </c>
      <c r="E190" s="10" t="s">
        <v>75</v>
      </c>
      <c r="F190" s="10" t="s">
        <v>46</v>
      </c>
      <c r="G190" s="10" t="s">
        <v>47</v>
      </c>
      <c r="H190" s="10">
        <v>9</v>
      </c>
      <c r="I190" s="10">
        <v>9800</v>
      </c>
      <c r="J190" s="10">
        <v>7600</v>
      </c>
      <c r="K190" s="12">
        <v>0</v>
      </c>
      <c r="L190" s="10">
        <v>3</v>
      </c>
      <c r="M190" s="28" t="s">
        <v>263</v>
      </c>
      <c r="N190" s="29">
        <f>_xlfn.IFNA(VLOOKUP(Sales[customer_id],Cust[],11,FALSE),"Unknown")</f>
        <v>100000</v>
      </c>
      <c r="O190" s="29" t="str">
        <f>_xlfn.IFNA(VLOOKUP(Sales[customer_id], Cust[], 7,FALSE),"Unknown customer")</f>
        <v>Kano</v>
      </c>
      <c r="P190" s="29" t="str">
        <f>_xlfn.IFNA(VLOOKUP(Sales[[#This Row],[customer_id]],Cust[],4, FALSE),"Unknown customer")</f>
        <v>Aisha Eze</v>
      </c>
      <c r="Q190" s="29" t="str">
        <f>_xlfn.IFNA(VLOOKUP(Sales[[#This Row],[customer_id]], Cust[], 10, FALSE), "Unknown customer")</f>
        <v>Retail</v>
      </c>
      <c r="R190" s="29">
        <f>SUM(Sales[quantity]*Sales[[#This Row],[unit_price_ngn]]*(1-Sales[[#This Row],[discount_pct]]))</f>
        <v>88200</v>
      </c>
      <c r="S190" s="29">
        <f>Sales[[#This Row],[revenue]]-(Sales[[#This Row],[quantity]]*Sales[[#This Row],[unit_cost_ngn]])</f>
        <v>19800</v>
      </c>
      <c r="T190" s="41" t="str">
        <f>TEXT(Sales[order_date], "yyyy-mm")</f>
        <v>2025-12</v>
      </c>
    </row>
    <row r="191" spans="1:20" ht="15" customHeight="1" x14ac:dyDescent="0.25">
      <c r="A191" s="10" t="s">
        <v>564</v>
      </c>
      <c r="B191" s="11">
        <v>45999</v>
      </c>
      <c r="C191" s="10" t="s">
        <v>63</v>
      </c>
      <c r="D191" s="10" t="s">
        <v>64</v>
      </c>
      <c r="E191" s="10" t="s">
        <v>34</v>
      </c>
      <c r="F191" s="10" t="s">
        <v>101</v>
      </c>
      <c r="G191" s="10" t="s">
        <v>61</v>
      </c>
      <c r="H191" s="10">
        <v>2</v>
      </c>
      <c r="I191" s="10">
        <v>28000</v>
      </c>
      <c r="J191" s="10">
        <v>18500</v>
      </c>
      <c r="K191" s="12">
        <v>0</v>
      </c>
      <c r="L191" s="10">
        <v>3</v>
      </c>
      <c r="M191" s="28" t="s">
        <v>423</v>
      </c>
      <c r="N191" s="29">
        <f>_xlfn.IFNA(VLOOKUP(Sales[customer_id],Cust[],11,FALSE),"Unknown")</f>
        <v>250000</v>
      </c>
      <c r="O191" s="29" t="str">
        <f>_xlfn.IFNA(VLOOKUP(Sales[customer_id], Cust[], 7,FALSE),"Unknown customer")</f>
        <v>Kano</v>
      </c>
      <c r="P191" s="29" t="str">
        <f>_xlfn.IFNA(VLOOKUP(Sales[[#This Row],[customer_id]],Cust[],4, FALSE),"Unknown customer")</f>
        <v>Ijeoma Nnamdi</v>
      </c>
      <c r="Q191" s="29" t="str">
        <f>_xlfn.IFNA(VLOOKUP(Sales[[#This Row],[customer_id]], Cust[], 10, FALSE), "Unknown customer")</f>
        <v>Corporate</v>
      </c>
      <c r="R191" s="29">
        <f>SUM(Sales[quantity]*Sales[[#This Row],[unit_price_ngn]]*(1-Sales[[#This Row],[discount_pct]]))</f>
        <v>56000</v>
      </c>
      <c r="S191" s="29">
        <f>Sales[[#This Row],[revenue]]-(Sales[[#This Row],[quantity]]*Sales[[#This Row],[unit_cost_ngn]])</f>
        <v>19000</v>
      </c>
      <c r="T191" s="41" t="str">
        <f>TEXT(Sales[order_date], "yyyy-mm")</f>
        <v>2025-12</v>
      </c>
    </row>
    <row r="192" spans="1:20" ht="15" customHeight="1" x14ac:dyDescent="0.25">
      <c r="A192" s="10" t="s">
        <v>573</v>
      </c>
      <c r="B192" s="11">
        <v>46003</v>
      </c>
      <c r="C192" s="10" t="s">
        <v>63</v>
      </c>
      <c r="D192" s="10" t="s">
        <v>64</v>
      </c>
      <c r="E192" s="10" t="s">
        <v>75</v>
      </c>
      <c r="F192" s="10" t="s">
        <v>69</v>
      </c>
      <c r="G192" s="10" t="s">
        <v>66</v>
      </c>
      <c r="H192" s="10">
        <v>2</v>
      </c>
      <c r="I192" s="10">
        <v>32000</v>
      </c>
      <c r="J192" s="10">
        <v>21000</v>
      </c>
      <c r="K192" s="12">
        <v>0</v>
      </c>
      <c r="L192" s="10">
        <v>1</v>
      </c>
      <c r="M192" s="28" t="s">
        <v>197</v>
      </c>
      <c r="N192" s="29">
        <f>_xlfn.IFNA(VLOOKUP(Sales[customer_id],Cust[],11,FALSE),"Unknown")</f>
        <v>500000</v>
      </c>
      <c r="O192" s="29" t="str">
        <f>_xlfn.IFNA(VLOOKUP(Sales[customer_id], Cust[], 7,FALSE),"Unknown customer")</f>
        <v>Kano</v>
      </c>
      <c r="P192" s="29" t="str">
        <f>_xlfn.IFNA(VLOOKUP(Sales[[#This Row],[customer_id]],Cust[],4, FALSE),"Unknown customer")</f>
        <v>Ijeoma Jibril</v>
      </c>
      <c r="Q192" s="29" t="str">
        <f>_xlfn.IFNA(VLOOKUP(Sales[[#This Row],[customer_id]], Cust[], 10, FALSE), "Unknown customer")</f>
        <v>Wholesale</v>
      </c>
      <c r="R192" s="29">
        <f>SUM(Sales[quantity]*Sales[[#This Row],[unit_price_ngn]]*(1-Sales[[#This Row],[discount_pct]]))</f>
        <v>64000</v>
      </c>
      <c r="S192" s="29">
        <f>Sales[[#This Row],[revenue]]-(Sales[[#This Row],[quantity]]*Sales[[#This Row],[unit_cost_ngn]])</f>
        <v>22000</v>
      </c>
      <c r="T192" s="41" t="str">
        <f>TEXT(Sales[order_date], "yyyy-mm")</f>
        <v>2025-12</v>
      </c>
    </row>
    <row r="193" spans="1:20" ht="15" customHeight="1" x14ac:dyDescent="0.25">
      <c r="A193" s="10" t="s">
        <v>574</v>
      </c>
      <c r="B193" s="11">
        <v>46004</v>
      </c>
      <c r="C193" s="10" t="s">
        <v>63</v>
      </c>
      <c r="D193" s="10" t="s">
        <v>64</v>
      </c>
      <c r="E193" s="10" t="s">
        <v>45</v>
      </c>
      <c r="F193" s="10" t="s">
        <v>69</v>
      </c>
      <c r="G193" s="10" t="s">
        <v>66</v>
      </c>
      <c r="H193" s="10">
        <v>1</v>
      </c>
      <c r="I193" s="10">
        <v>32000</v>
      </c>
      <c r="J193" s="10">
        <v>21000</v>
      </c>
      <c r="K193" s="12">
        <v>0</v>
      </c>
      <c r="L193" s="10">
        <v>1</v>
      </c>
      <c r="M193" s="28" t="s">
        <v>179</v>
      </c>
      <c r="N193" s="29">
        <f>_xlfn.IFNA(VLOOKUP(Sales[customer_id],Cust[],11,FALSE),"Unknown")</f>
        <v>150000</v>
      </c>
      <c r="O193" s="29" t="str">
        <f>_xlfn.IFNA(VLOOKUP(Sales[customer_id], Cust[], 7,FALSE),"Unknown customer")</f>
        <v>Kano</v>
      </c>
      <c r="P193" s="29" t="str">
        <f>_xlfn.IFNA(VLOOKUP(Sales[[#This Row],[customer_id]],Cust[],4, FALSE),"Unknown customer")</f>
        <v>Halima Chukwu</v>
      </c>
      <c r="Q193" s="29" t="str">
        <f>_xlfn.IFNA(VLOOKUP(Sales[[#This Row],[customer_id]], Cust[], 10, FALSE), "Unknown customer")</f>
        <v>Wholesale</v>
      </c>
      <c r="R193" s="29">
        <f>SUM(Sales[quantity]*Sales[[#This Row],[unit_price_ngn]]*(1-Sales[[#This Row],[discount_pct]]))</f>
        <v>32000</v>
      </c>
      <c r="S193" s="29">
        <f>Sales[[#This Row],[revenue]]-(Sales[[#This Row],[quantity]]*Sales[[#This Row],[unit_cost_ngn]])</f>
        <v>11000</v>
      </c>
      <c r="T193" s="41" t="str">
        <f>TEXT(Sales[order_date], "yyyy-mm")</f>
        <v>2025-12</v>
      </c>
    </row>
    <row r="194" spans="1:20" ht="15" customHeight="1" x14ac:dyDescent="0.25">
      <c r="A194" s="10" t="s">
        <v>582</v>
      </c>
      <c r="B194" s="11">
        <v>46015</v>
      </c>
      <c r="C194" s="10" t="s">
        <v>63</v>
      </c>
      <c r="D194" s="10" t="s">
        <v>64</v>
      </c>
      <c r="E194" s="10" t="s">
        <v>75</v>
      </c>
      <c r="F194" s="10" t="s">
        <v>57</v>
      </c>
      <c r="G194" s="10" t="s">
        <v>51</v>
      </c>
      <c r="H194" s="10">
        <v>3</v>
      </c>
      <c r="I194" s="10">
        <v>27500</v>
      </c>
      <c r="J194" s="10">
        <v>16500</v>
      </c>
      <c r="K194" s="12">
        <v>0</v>
      </c>
      <c r="L194" s="10">
        <v>3</v>
      </c>
      <c r="M194" s="28" t="s">
        <v>86</v>
      </c>
      <c r="N194" s="29">
        <f>_xlfn.IFNA(VLOOKUP(Sales[customer_id],Cust[],11,FALSE),"Unknown")</f>
        <v>100000</v>
      </c>
      <c r="O194" s="29" t="str">
        <f>_xlfn.IFNA(VLOOKUP(Sales[customer_id], Cust[], 7,FALSE),"Unknown customer")</f>
        <v>Kano</v>
      </c>
      <c r="P194" s="29" t="str">
        <f>_xlfn.IFNA(VLOOKUP(Sales[[#This Row],[customer_id]],Cust[],4, FALSE),"Unknown customer")</f>
        <v>Halima Okonkwo</v>
      </c>
      <c r="Q194" s="29" t="str">
        <f>_xlfn.IFNA(VLOOKUP(Sales[[#This Row],[customer_id]], Cust[], 10, FALSE), "Unknown customer")</f>
        <v>Wholesale</v>
      </c>
      <c r="R194" s="29">
        <f>SUM(Sales[quantity]*Sales[[#This Row],[unit_price_ngn]]*(1-Sales[[#This Row],[discount_pct]]))</f>
        <v>82500</v>
      </c>
      <c r="S194" s="29">
        <f>Sales[[#This Row],[revenue]]-(Sales[[#This Row],[quantity]]*Sales[[#This Row],[unit_cost_ngn]])</f>
        <v>33000</v>
      </c>
      <c r="T194" s="41" t="str">
        <f>TEXT(Sales[order_date], "yyyy-mm")</f>
        <v>2025-12</v>
      </c>
    </row>
    <row r="195" spans="1:20" ht="15" customHeight="1" x14ac:dyDescent="0.25">
      <c r="A195" s="10" t="s">
        <v>31</v>
      </c>
      <c r="B195" s="11">
        <v>45659</v>
      </c>
      <c r="C195" s="10" t="s">
        <v>32</v>
      </c>
      <c r="D195" s="10" t="s">
        <v>33</v>
      </c>
      <c r="E195" s="10" t="s">
        <v>34</v>
      </c>
      <c r="F195" s="10" t="s">
        <v>35</v>
      </c>
      <c r="G195" s="10" t="s">
        <v>36</v>
      </c>
      <c r="H195" s="10">
        <v>1</v>
      </c>
      <c r="I195" s="10">
        <v>18500</v>
      </c>
      <c r="J195" s="10">
        <v>11800</v>
      </c>
      <c r="K195" s="12">
        <v>0</v>
      </c>
      <c r="L195" s="10">
        <v>7</v>
      </c>
      <c r="M195" s="28" t="s">
        <v>37</v>
      </c>
      <c r="N195" s="29">
        <f>_xlfn.IFNA(VLOOKUP(Sales[customer_id],Cust[],11,FALSE),"Unknown")</f>
        <v>150000</v>
      </c>
      <c r="O195" s="29" t="str">
        <f>_xlfn.IFNA(VLOOKUP(Sales[customer_id], Cust[], 7,FALSE),"Unknown customer")</f>
        <v>Lagos</v>
      </c>
      <c r="P195" s="29" t="str">
        <f>_xlfn.IFNA(VLOOKUP(Sales[[#This Row],[customer_id]],Cust[],4, FALSE),"Unknown customer")</f>
        <v>Blessing Yusuf</v>
      </c>
      <c r="Q195" s="29" t="str">
        <f>_xlfn.IFNA(VLOOKUP(Sales[[#This Row],[customer_id]], Cust[], 10, FALSE), "Unknown customer")</f>
        <v>Corporate</v>
      </c>
      <c r="R195" s="29">
        <f>SUM(Sales[quantity]*Sales[[#This Row],[unit_price_ngn]]*(1-Sales[[#This Row],[discount_pct]]))</f>
        <v>18500</v>
      </c>
      <c r="S195" s="29">
        <f>Sales[[#This Row],[revenue]]-(Sales[[#This Row],[quantity]]*Sales[[#This Row],[unit_cost_ngn]])</f>
        <v>6700</v>
      </c>
      <c r="T195" s="41" t="str">
        <f>TEXT(Sales[order_date], "yyyy-mm")</f>
        <v>2025-01</v>
      </c>
    </row>
    <row r="196" spans="1:20" ht="15" customHeight="1" x14ac:dyDescent="0.25">
      <c r="A196" s="10" t="s">
        <v>71</v>
      </c>
      <c r="B196" s="11">
        <v>45663</v>
      </c>
      <c r="C196" s="10" t="s">
        <v>32</v>
      </c>
      <c r="D196" s="10" t="s">
        <v>33</v>
      </c>
      <c r="E196" s="10" t="s">
        <v>34</v>
      </c>
      <c r="F196" s="10" t="s">
        <v>72</v>
      </c>
      <c r="G196" s="10" t="s">
        <v>47</v>
      </c>
      <c r="H196" s="10">
        <v>2</v>
      </c>
      <c r="I196" s="10">
        <v>46000</v>
      </c>
      <c r="J196" s="10">
        <v>39000</v>
      </c>
      <c r="K196" s="12">
        <v>0</v>
      </c>
      <c r="L196" s="10">
        <v>1</v>
      </c>
      <c r="M196" s="28" t="s">
        <v>73</v>
      </c>
      <c r="N196" s="29">
        <f>_xlfn.IFNA(VLOOKUP(Sales[customer_id],Cust[],11,FALSE),"Unknown")</f>
        <v>250000</v>
      </c>
      <c r="O196" s="29" t="str">
        <f>_xlfn.IFNA(VLOOKUP(Sales[customer_id], Cust[], 7,FALSE),"Unknown customer")</f>
        <v>Lagos</v>
      </c>
      <c r="P196" s="29" t="str">
        <f>_xlfn.IFNA(VLOOKUP(Sales[[#This Row],[customer_id]],Cust[],4, FALSE),"Unknown customer")</f>
        <v>Blessing Obi</v>
      </c>
      <c r="Q196" s="29" t="str">
        <f>_xlfn.IFNA(VLOOKUP(Sales[[#This Row],[customer_id]], Cust[], 10, FALSE), "Unknown customer")</f>
        <v>Retail</v>
      </c>
      <c r="R196" s="29">
        <f>SUM(Sales[quantity]*Sales[[#This Row],[unit_price_ngn]]*(1-Sales[[#This Row],[discount_pct]]))</f>
        <v>92000</v>
      </c>
      <c r="S196" s="29">
        <f>Sales[[#This Row],[revenue]]-(Sales[[#This Row],[quantity]]*Sales[[#This Row],[unit_cost_ngn]])</f>
        <v>14000</v>
      </c>
      <c r="T196" s="41" t="str">
        <f>TEXT(Sales[order_date], "yyyy-mm")</f>
        <v>2025-01</v>
      </c>
    </row>
    <row r="197" spans="1:20" ht="15" customHeight="1" x14ac:dyDescent="0.25">
      <c r="A197" s="10" t="s">
        <v>77</v>
      </c>
      <c r="B197" s="11">
        <v>45664</v>
      </c>
      <c r="C197" s="10" t="s">
        <v>32</v>
      </c>
      <c r="D197" s="10" t="s">
        <v>33</v>
      </c>
      <c r="E197" s="10" t="s">
        <v>34</v>
      </c>
      <c r="F197" s="10" t="s">
        <v>78</v>
      </c>
      <c r="G197" s="10" t="s">
        <v>36</v>
      </c>
      <c r="H197" s="10">
        <v>3</v>
      </c>
      <c r="I197" s="10">
        <v>22000</v>
      </c>
      <c r="J197" s="10">
        <v>13800</v>
      </c>
      <c r="K197" s="12">
        <v>0</v>
      </c>
      <c r="L197" s="10">
        <v>2</v>
      </c>
      <c r="M197" s="28" t="s">
        <v>79</v>
      </c>
      <c r="N197" s="29">
        <f>_xlfn.IFNA(VLOOKUP(Sales[customer_id],Cust[],11,FALSE),"Unknown")</f>
        <v>500000</v>
      </c>
      <c r="O197" s="29" t="str">
        <f>_xlfn.IFNA(VLOOKUP(Sales[customer_id], Cust[], 7,FALSE),"Unknown customer")</f>
        <v>Lagos</v>
      </c>
      <c r="P197" s="29" t="str">
        <f>_xlfn.IFNA(VLOOKUP(Sales[[#This Row],[customer_id]],Cust[],4, FALSE),"Unknown customer")</f>
        <v>Ibrahim Ogunleye</v>
      </c>
      <c r="Q197" s="29" t="str">
        <f>_xlfn.IFNA(VLOOKUP(Sales[[#This Row],[customer_id]], Cust[], 10, FALSE), "Unknown customer")</f>
        <v>Retail</v>
      </c>
      <c r="R197" s="29">
        <f>SUM(Sales[quantity]*Sales[[#This Row],[unit_price_ngn]]*(1-Sales[[#This Row],[discount_pct]]))</f>
        <v>66000</v>
      </c>
      <c r="S197" s="29">
        <f>Sales[[#This Row],[revenue]]-(Sales[[#This Row],[quantity]]*Sales[[#This Row],[unit_cost_ngn]])</f>
        <v>24600</v>
      </c>
      <c r="T197" s="41" t="str">
        <f>TEXT(Sales[order_date], "yyyy-mm")</f>
        <v>2025-01</v>
      </c>
    </row>
    <row r="198" spans="1:20" ht="15" customHeight="1" x14ac:dyDescent="0.25">
      <c r="A198" s="10" t="s">
        <v>80</v>
      </c>
      <c r="B198" s="11">
        <v>45664</v>
      </c>
      <c r="C198" s="10" t="s">
        <v>32</v>
      </c>
      <c r="D198" s="10" t="s">
        <v>33</v>
      </c>
      <c r="E198" s="10" t="s">
        <v>75</v>
      </c>
      <c r="F198" s="10" t="s">
        <v>65</v>
      </c>
      <c r="G198" s="10" t="s">
        <v>66</v>
      </c>
      <c r="H198" s="10">
        <v>2</v>
      </c>
      <c r="I198" s="10">
        <v>24000</v>
      </c>
      <c r="J198" s="10">
        <v>14500</v>
      </c>
      <c r="K198" s="12">
        <v>0.1</v>
      </c>
      <c r="L198" s="10">
        <v>2</v>
      </c>
      <c r="M198" s="28" t="s">
        <v>81</v>
      </c>
      <c r="N198" s="29">
        <f>_xlfn.IFNA(VLOOKUP(Sales[customer_id],Cust[],11,FALSE),"Unknown")</f>
        <v>100000</v>
      </c>
      <c r="O198" s="29" t="str">
        <f>_xlfn.IFNA(VLOOKUP(Sales[customer_id], Cust[], 7,FALSE),"Unknown customer")</f>
        <v>Lagos</v>
      </c>
      <c r="P198" s="29" t="str">
        <f>_xlfn.IFNA(VLOOKUP(Sales[[#This Row],[customer_id]],Cust[],4, FALSE),"Unknown customer")</f>
        <v>Jide Umeh</v>
      </c>
      <c r="Q198" s="29" t="str">
        <f>_xlfn.IFNA(VLOOKUP(Sales[[#This Row],[customer_id]], Cust[], 10, FALSE), "Unknown customer")</f>
        <v>Wholesale</v>
      </c>
      <c r="R198" s="29">
        <f>SUM(Sales[quantity]*Sales[[#This Row],[unit_price_ngn]]*(1-Sales[[#This Row],[discount_pct]]))</f>
        <v>43200</v>
      </c>
      <c r="S198" s="29">
        <f>Sales[[#This Row],[revenue]]-(Sales[[#This Row],[quantity]]*Sales[[#This Row],[unit_cost_ngn]])</f>
        <v>14200</v>
      </c>
      <c r="T198" s="41" t="str">
        <f>TEXT(Sales[order_date], "yyyy-mm")</f>
        <v>2025-01</v>
      </c>
    </row>
    <row r="199" spans="1:20" ht="15" customHeight="1" x14ac:dyDescent="0.25">
      <c r="A199" s="10" t="s">
        <v>82</v>
      </c>
      <c r="B199" s="11">
        <v>45664</v>
      </c>
      <c r="C199" s="10" t="s">
        <v>32</v>
      </c>
      <c r="D199" s="10" t="s">
        <v>83</v>
      </c>
      <c r="E199" s="10" t="s">
        <v>45</v>
      </c>
      <c r="F199" s="10" t="s">
        <v>57</v>
      </c>
      <c r="G199" s="10" t="s">
        <v>51</v>
      </c>
      <c r="H199" s="10">
        <v>2</v>
      </c>
      <c r="I199" s="10">
        <v>27500</v>
      </c>
      <c r="J199" s="10">
        <v>16500</v>
      </c>
      <c r="K199" s="12">
        <v>0</v>
      </c>
      <c r="L199" s="10">
        <v>1</v>
      </c>
      <c r="M199" s="28" t="s">
        <v>84</v>
      </c>
      <c r="N199" s="29">
        <f>_xlfn.IFNA(VLOOKUP(Sales[customer_id],Cust[],11,FALSE),"Unknown")</f>
        <v>150000</v>
      </c>
      <c r="O199" s="29" t="str">
        <f>_xlfn.IFNA(VLOOKUP(Sales[customer_id], Cust[], 7,FALSE),"Unknown customer")</f>
        <v>Lagos</v>
      </c>
      <c r="P199" s="29" t="str">
        <f>_xlfn.IFNA(VLOOKUP(Sales[[#This Row],[customer_id]],Cust[],4, FALSE),"Unknown customer")</f>
        <v>Aisha Ojo</v>
      </c>
      <c r="Q199" s="29" t="str">
        <f>_xlfn.IFNA(VLOOKUP(Sales[[#This Row],[customer_id]], Cust[], 10, FALSE), "Unknown customer")</f>
        <v>Retail</v>
      </c>
      <c r="R199" s="29">
        <f>SUM(Sales[quantity]*Sales[[#This Row],[unit_price_ngn]]*(1-Sales[[#This Row],[discount_pct]]))</f>
        <v>55000</v>
      </c>
      <c r="S199" s="29">
        <f>Sales[[#This Row],[revenue]]-(Sales[[#This Row],[quantity]]*Sales[[#This Row],[unit_cost_ngn]])</f>
        <v>22000</v>
      </c>
      <c r="T199" s="41" t="str">
        <f>TEXT(Sales[order_date], "yyyy-mm")</f>
        <v>2025-01</v>
      </c>
    </row>
    <row r="200" spans="1:20" ht="15" customHeight="1" x14ac:dyDescent="0.25">
      <c r="A200" s="10" t="s">
        <v>87</v>
      </c>
      <c r="B200" s="11">
        <v>45665</v>
      </c>
      <c r="C200" s="10" t="s">
        <v>32</v>
      </c>
      <c r="D200" s="10" t="s">
        <v>33</v>
      </c>
      <c r="E200" s="10" t="s">
        <v>45</v>
      </c>
      <c r="F200" s="10" t="s">
        <v>88</v>
      </c>
      <c r="G200" s="10" t="s">
        <v>89</v>
      </c>
      <c r="H200" s="10">
        <v>3</v>
      </c>
      <c r="I200" s="10">
        <v>6800</v>
      </c>
      <c r="J200" s="10">
        <v>3900</v>
      </c>
      <c r="K200" s="12">
        <v>0</v>
      </c>
      <c r="L200" s="10">
        <v>3</v>
      </c>
      <c r="M200" s="28" t="s">
        <v>90</v>
      </c>
      <c r="N200" s="29">
        <f>_xlfn.IFNA(VLOOKUP(Sales[customer_id],Cust[],11,FALSE),"Unknown")</f>
        <v>500000</v>
      </c>
      <c r="O200" s="29" t="str">
        <f>_xlfn.IFNA(VLOOKUP(Sales[customer_id], Cust[], 7,FALSE),"Unknown customer")</f>
        <v>Lagos</v>
      </c>
      <c r="P200" s="29" t="str">
        <f>_xlfn.IFNA(VLOOKUP(Sales[[#This Row],[customer_id]],Cust[],4, FALSE),"Unknown customer")</f>
        <v>Obinna Kalu</v>
      </c>
      <c r="Q200" s="29" t="str">
        <f>_xlfn.IFNA(VLOOKUP(Sales[[#This Row],[customer_id]], Cust[], 10, FALSE), "Unknown customer")</f>
        <v>Wholesale</v>
      </c>
      <c r="R200" s="29">
        <f>SUM(Sales[quantity]*Sales[[#This Row],[unit_price_ngn]]*(1-Sales[[#This Row],[discount_pct]]))</f>
        <v>20400</v>
      </c>
      <c r="S200" s="29">
        <f>Sales[[#This Row],[revenue]]-(Sales[[#This Row],[quantity]]*Sales[[#This Row],[unit_cost_ngn]])</f>
        <v>8700</v>
      </c>
      <c r="T200" s="41" t="str">
        <f>TEXT(Sales[order_date], "yyyy-mm")</f>
        <v>2025-01</v>
      </c>
    </row>
    <row r="201" spans="1:20" ht="15" customHeight="1" x14ac:dyDescent="0.25">
      <c r="A201" s="10" t="s">
        <v>95</v>
      </c>
      <c r="B201" s="11">
        <v>45670</v>
      </c>
      <c r="C201" s="10" t="s">
        <v>32</v>
      </c>
      <c r="D201" s="10" t="s">
        <v>83</v>
      </c>
      <c r="E201" s="10" t="s">
        <v>34</v>
      </c>
      <c r="F201" s="10" t="s">
        <v>35</v>
      </c>
      <c r="G201" s="10" t="s">
        <v>36</v>
      </c>
      <c r="H201" s="10">
        <v>1</v>
      </c>
      <c r="I201" s="10">
        <v>18500</v>
      </c>
      <c r="J201" s="10">
        <v>11800</v>
      </c>
      <c r="K201" s="12">
        <v>0</v>
      </c>
      <c r="L201" s="10">
        <v>2</v>
      </c>
      <c r="M201" s="28" t="s">
        <v>79</v>
      </c>
      <c r="N201" s="29">
        <f>_xlfn.IFNA(VLOOKUP(Sales[customer_id],Cust[],11,FALSE),"Unknown")</f>
        <v>500000</v>
      </c>
      <c r="O201" s="29" t="str">
        <f>_xlfn.IFNA(VLOOKUP(Sales[customer_id], Cust[], 7,FALSE),"Unknown customer")</f>
        <v>Lagos</v>
      </c>
      <c r="P201" s="29" t="str">
        <f>_xlfn.IFNA(VLOOKUP(Sales[[#This Row],[customer_id]],Cust[],4, FALSE),"Unknown customer")</f>
        <v>Ibrahim Ogunleye</v>
      </c>
      <c r="Q201" s="29" t="str">
        <f>_xlfn.IFNA(VLOOKUP(Sales[[#This Row],[customer_id]], Cust[], 10, FALSE), "Unknown customer")</f>
        <v>Retail</v>
      </c>
      <c r="R201" s="29">
        <f>SUM(Sales[quantity]*Sales[[#This Row],[unit_price_ngn]]*(1-Sales[[#This Row],[discount_pct]]))</f>
        <v>18500</v>
      </c>
      <c r="S201" s="29">
        <f>Sales[[#This Row],[revenue]]-(Sales[[#This Row],[quantity]]*Sales[[#This Row],[unit_cost_ngn]])</f>
        <v>6700</v>
      </c>
      <c r="T201" s="41" t="str">
        <f>TEXT(Sales[order_date], "yyyy-mm")</f>
        <v>2025-01</v>
      </c>
    </row>
    <row r="202" spans="1:20" ht="15" customHeight="1" x14ac:dyDescent="0.25">
      <c r="A202" s="10" t="s">
        <v>96</v>
      </c>
      <c r="B202" s="11">
        <v>45670</v>
      </c>
      <c r="C202" s="10" t="s">
        <v>32</v>
      </c>
      <c r="D202" s="10" t="s">
        <v>83</v>
      </c>
      <c r="E202" s="10" t="s">
        <v>45</v>
      </c>
      <c r="F202" s="10" t="s">
        <v>50</v>
      </c>
      <c r="G202" s="10" t="s">
        <v>51</v>
      </c>
      <c r="H202" s="10">
        <v>8</v>
      </c>
      <c r="I202" s="10">
        <v>41000</v>
      </c>
      <c r="J202" s="10">
        <v>25000</v>
      </c>
      <c r="K202" s="12">
        <v>0</v>
      </c>
      <c r="L202" s="10">
        <v>5</v>
      </c>
      <c r="M202" s="28" t="s">
        <v>97</v>
      </c>
      <c r="N202" s="29">
        <f>_xlfn.IFNA(VLOOKUP(Sales[customer_id],Cust[],11,FALSE),"Unknown")</f>
        <v>150000</v>
      </c>
      <c r="O202" s="29" t="str">
        <f>_xlfn.IFNA(VLOOKUP(Sales[customer_id], Cust[], 7,FALSE),"Unknown customer")</f>
        <v>Lagos</v>
      </c>
      <c r="P202" s="29" t="str">
        <f>_xlfn.IFNA(VLOOKUP(Sales[[#This Row],[customer_id]],Cust[],4, FALSE),"Unknown customer")</f>
        <v>Ibrahim Peters</v>
      </c>
      <c r="Q202" s="29" t="str">
        <f>_xlfn.IFNA(VLOOKUP(Sales[[#This Row],[customer_id]], Cust[], 10, FALSE), "Unknown customer")</f>
        <v>Retail</v>
      </c>
      <c r="R202" s="29">
        <f>SUM(Sales[quantity]*Sales[[#This Row],[unit_price_ngn]]*(1-Sales[[#This Row],[discount_pct]]))</f>
        <v>328000</v>
      </c>
      <c r="S202" s="29">
        <f>Sales[[#This Row],[revenue]]-(Sales[[#This Row],[quantity]]*Sales[[#This Row],[unit_cost_ngn]])</f>
        <v>128000</v>
      </c>
      <c r="T202" s="41" t="str">
        <f>TEXT(Sales[order_date], "yyyy-mm")</f>
        <v>2025-01</v>
      </c>
    </row>
    <row r="203" spans="1:20" ht="15" customHeight="1" x14ac:dyDescent="0.25">
      <c r="A203" s="10" t="s">
        <v>112</v>
      </c>
      <c r="B203" s="11">
        <v>45677</v>
      </c>
      <c r="C203" s="10" t="s">
        <v>32</v>
      </c>
      <c r="D203" s="10" t="s">
        <v>83</v>
      </c>
      <c r="E203" s="10" t="s">
        <v>75</v>
      </c>
      <c r="F203" s="10" t="s">
        <v>88</v>
      </c>
      <c r="G203" s="10" t="s">
        <v>89</v>
      </c>
      <c r="H203" s="10">
        <v>2</v>
      </c>
      <c r="I203" s="10">
        <v>6800</v>
      </c>
      <c r="J203" s="10">
        <v>3900</v>
      </c>
      <c r="K203" s="12">
        <v>0</v>
      </c>
      <c r="L203" s="10">
        <v>3</v>
      </c>
      <c r="M203" s="28" t="s">
        <v>113</v>
      </c>
      <c r="N203" s="29">
        <f>_xlfn.IFNA(VLOOKUP(Sales[customer_id],Cust[],11,FALSE),"Unknown")</f>
        <v>50000</v>
      </c>
      <c r="O203" s="29" t="str">
        <f>_xlfn.IFNA(VLOOKUP(Sales[customer_id], Cust[], 7,FALSE),"Unknown customer")</f>
        <v>Lagos</v>
      </c>
      <c r="P203" s="29" t="str">
        <f>_xlfn.IFNA(VLOOKUP(Sales[[#This Row],[customer_id]],Cust[],4, FALSE),"Unknown customer")</f>
        <v>Obinna Umeh</v>
      </c>
      <c r="Q203" s="29" t="str">
        <f>_xlfn.IFNA(VLOOKUP(Sales[[#This Row],[customer_id]], Cust[], 10, FALSE), "Unknown customer")</f>
        <v>Retail</v>
      </c>
      <c r="R203" s="29">
        <f>SUM(Sales[quantity]*Sales[[#This Row],[unit_price_ngn]]*(1-Sales[[#This Row],[discount_pct]]))</f>
        <v>13600</v>
      </c>
      <c r="S203" s="29">
        <f>Sales[[#This Row],[revenue]]-(Sales[[#This Row],[quantity]]*Sales[[#This Row],[unit_cost_ngn]])</f>
        <v>5800</v>
      </c>
      <c r="T203" s="41" t="str">
        <f>TEXT(Sales[order_date], "yyyy-mm")</f>
        <v>2025-01</v>
      </c>
    </row>
    <row r="204" spans="1:20" ht="15" customHeight="1" x14ac:dyDescent="0.25">
      <c r="A204" s="10" t="s">
        <v>119</v>
      </c>
      <c r="B204" s="11">
        <v>45678</v>
      </c>
      <c r="C204" s="10" t="s">
        <v>32</v>
      </c>
      <c r="D204" s="10" t="s">
        <v>83</v>
      </c>
      <c r="E204" s="10" t="s">
        <v>45</v>
      </c>
      <c r="F204" s="10" t="s">
        <v>88</v>
      </c>
      <c r="G204" s="10" t="s">
        <v>89</v>
      </c>
      <c r="H204" s="10">
        <v>4</v>
      </c>
      <c r="I204" s="10">
        <v>6800</v>
      </c>
      <c r="J204" s="10">
        <v>3900</v>
      </c>
      <c r="K204" s="12">
        <v>0</v>
      </c>
      <c r="L204" s="10">
        <v>4</v>
      </c>
      <c r="M204" s="28" t="s">
        <v>73</v>
      </c>
      <c r="N204" s="29">
        <f>_xlfn.IFNA(VLOOKUP(Sales[customer_id],Cust[],11,FALSE),"Unknown")</f>
        <v>250000</v>
      </c>
      <c r="O204" s="29" t="str">
        <f>_xlfn.IFNA(VLOOKUP(Sales[customer_id], Cust[], 7,FALSE),"Unknown customer")</f>
        <v>Lagos</v>
      </c>
      <c r="P204" s="29" t="str">
        <f>_xlfn.IFNA(VLOOKUP(Sales[[#This Row],[customer_id]],Cust[],4, FALSE),"Unknown customer")</f>
        <v>Blessing Obi</v>
      </c>
      <c r="Q204" s="29" t="str">
        <f>_xlfn.IFNA(VLOOKUP(Sales[[#This Row],[customer_id]], Cust[], 10, FALSE), "Unknown customer")</f>
        <v>Retail</v>
      </c>
      <c r="R204" s="29">
        <f>SUM(Sales[quantity]*Sales[[#This Row],[unit_price_ngn]]*(1-Sales[[#This Row],[discount_pct]]))</f>
        <v>27200</v>
      </c>
      <c r="S204" s="29">
        <f>Sales[[#This Row],[revenue]]-(Sales[[#This Row],[quantity]]*Sales[[#This Row],[unit_cost_ngn]])</f>
        <v>11600</v>
      </c>
      <c r="T204" s="41" t="str">
        <f>TEXT(Sales[order_date], "yyyy-mm")</f>
        <v>2025-01</v>
      </c>
    </row>
    <row r="205" spans="1:20" ht="15" customHeight="1" x14ac:dyDescent="0.25">
      <c r="A205" s="10" t="s">
        <v>120</v>
      </c>
      <c r="B205" s="11">
        <v>45680</v>
      </c>
      <c r="C205" s="10" t="s">
        <v>32</v>
      </c>
      <c r="D205" s="10" t="s">
        <v>33</v>
      </c>
      <c r="E205" s="10" t="s">
        <v>45</v>
      </c>
      <c r="F205" s="10" t="s">
        <v>101</v>
      </c>
      <c r="G205" s="10" t="s">
        <v>61</v>
      </c>
      <c r="H205" s="10">
        <v>2</v>
      </c>
      <c r="I205" s="10">
        <v>28000</v>
      </c>
      <c r="J205" s="10">
        <v>18500</v>
      </c>
      <c r="K205" s="12">
        <v>0</v>
      </c>
      <c r="L205" s="10">
        <v>3</v>
      </c>
      <c r="M205" s="28" t="s">
        <v>121</v>
      </c>
      <c r="N205" s="29">
        <f>_xlfn.IFNA(VLOOKUP(Sales[customer_id],Cust[],11,FALSE),"Unknown")</f>
        <v>50000</v>
      </c>
      <c r="O205" s="29" t="str">
        <f>_xlfn.IFNA(VLOOKUP(Sales[customer_id], Cust[], 7,FALSE),"Unknown customer")</f>
        <v>Lagos</v>
      </c>
      <c r="P205" s="29" t="str">
        <f>_xlfn.IFNA(VLOOKUP(Sales[[#This Row],[customer_id]],Cust[],4, FALSE),"Unknown customer")</f>
        <v>Lanre Balogun</v>
      </c>
      <c r="Q205" s="29" t="str">
        <f>_xlfn.IFNA(VLOOKUP(Sales[[#This Row],[customer_id]], Cust[], 10, FALSE), "Unknown customer")</f>
        <v>Retail</v>
      </c>
      <c r="R205" s="29">
        <f>SUM(Sales[quantity]*Sales[[#This Row],[unit_price_ngn]]*(1-Sales[[#This Row],[discount_pct]]))</f>
        <v>56000</v>
      </c>
      <c r="S205" s="29">
        <f>Sales[[#This Row],[revenue]]-(Sales[[#This Row],[quantity]]*Sales[[#This Row],[unit_cost_ngn]])</f>
        <v>19000</v>
      </c>
      <c r="T205" s="41" t="str">
        <f>TEXT(Sales[order_date], "yyyy-mm")</f>
        <v>2025-01</v>
      </c>
    </row>
    <row r="206" spans="1:20" ht="15" customHeight="1" x14ac:dyDescent="0.25">
      <c r="A206" s="10" t="s">
        <v>130</v>
      </c>
      <c r="B206" s="11">
        <v>45685</v>
      </c>
      <c r="C206" s="10" t="s">
        <v>32</v>
      </c>
      <c r="D206" s="10" t="s">
        <v>33</v>
      </c>
      <c r="E206" s="10" t="s">
        <v>34</v>
      </c>
      <c r="F206" s="10" t="s">
        <v>46</v>
      </c>
      <c r="G206" s="10" t="s">
        <v>47</v>
      </c>
      <c r="H206" s="10">
        <v>1</v>
      </c>
      <c r="I206" s="10">
        <v>9800</v>
      </c>
      <c r="J206" s="10">
        <v>7600</v>
      </c>
      <c r="K206" s="12">
        <v>0</v>
      </c>
      <c r="L206" s="10">
        <v>1</v>
      </c>
      <c r="M206" s="28" t="s">
        <v>131</v>
      </c>
      <c r="N206" s="29">
        <f>_xlfn.IFNA(VLOOKUP(Sales[customer_id],Cust[],11,FALSE),"Unknown")</f>
        <v>250000</v>
      </c>
      <c r="O206" s="29" t="str">
        <f>_xlfn.IFNA(VLOOKUP(Sales[customer_id], Cust[], 7,FALSE),"Unknown customer")</f>
        <v>Lagos</v>
      </c>
      <c r="P206" s="29" t="str">
        <f>_xlfn.IFNA(VLOOKUP(Sales[[#This Row],[customer_id]],Cust[],4, FALSE),"Unknown customer")</f>
        <v>Tunde Oyelaran</v>
      </c>
      <c r="Q206" s="29" t="str">
        <f>_xlfn.IFNA(VLOOKUP(Sales[[#This Row],[customer_id]], Cust[], 10, FALSE), "Unknown customer")</f>
        <v>Retail</v>
      </c>
      <c r="R206" s="29">
        <f>SUM(Sales[quantity]*Sales[[#This Row],[unit_price_ngn]]*(1-Sales[[#This Row],[discount_pct]]))</f>
        <v>9800</v>
      </c>
      <c r="S206" s="29">
        <f>Sales[[#This Row],[revenue]]-(Sales[[#This Row],[quantity]]*Sales[[#This Row],[unit_cost_ngn]])</f>
        <v>2200</v>
      </c>
      <c r="T206" s="41" t="str">
        <f>TEXT(Sales[order_date], "yyyy-mm")</f>
        <v>2025-01</v>
      </c>
    </row>
    <row r="207" spans="1:20" ht="15" customHeight="1" x14ac:dyDescent="0.25">
      <c r="A207" s="10" t="s">
        <v>137</v>
      </c>
      <c r="B207" s="11">
        <v>45688</v>
      </c>
      <c r="C207" s="10" t="s">
        <v>32</v>
      </c>
      <c r="D207" s="10" t="s">
        <v>33</v>
      </c>
      <c r="E207" s="10" t="s">
        <v>45</v>
      </c>
      <c r="F207" s="10" t="s">
        <v>50</v>
      </c>
      <c r="G207" s="10" t="s">
        <v>51</v>
      </c>
      <c r="H207" s="10">
        <v>2</v>
      </c>
      <c r="I207" s="10">
        <v>41000</v>
      </c>
      <c r="J207" s="10">
        <v>25000</v>
      </c>
      <c r="K207" s="12">
        <v>0</v>
      </c>
      <c r="L207" s="10">
        <v>4</v>
      </c>
      <c r="M207" s="28" t="s">
        <v>138</v>
      </c>
      <c r="N207" s="29">
        <f>_xlfn.IFNA(VLOOKUP(Sales[customer_id],Cust[],11,FALSE),"Unknown")</f>
        <v>250000</v>
      </c>
      <c r="O207" s="29" t="str">
        <f>_xlfn.IFNA(VLOOKUP(Sales[customer_id], Cust[], 7,FALSE),"Unknown customer")</f>
        <v>Lagos</v>
      </c>
      <c r="P207" s="29" t="str">
        <f>_xlfn.IFNA(VLOOKUP(Sales[[#This Row],[customer_id]],Cust[],4, FALSE),"Unknown customer")</f>
        <v>Kelechi Balogun</v>
      </c>
      <c r="Q207" s="29" t="str">
        <f>_xlfn.IFNA(VLOOKUP(Sales[[#This Row],[customer_id]], Cust[], 10, FALSE), "Unknown customer")</f>
        <v>Retail</v>
      </c>
      <c r="R207" s="29">
        <f>SUM(Sales[quantity]*Sales[[#This Row],[unit_price_ngn]]*(1-Sales[[#This Row],[discount_pct]]))</f>
        <v>82000</v>
      </c>
      <c r="S207" s="29">
        <f>Sales[[#This Row],[revenue]]-(Sales[[#This Row],[quantity]]*Sales[[#This Row],[unit_cost_ngn]])</f>
        <v>32000</v>
      </c>
      <c r="T207" s="41" t="str">
        <f>TEXT(Sales[order_date], "yyyy-mm")</f>
        <v>2025-01</v>
      </c>
    </row>
    <row r="208" spans="1:20" ht="15" customHeight="1" x14ac:dyDescent="0.25">
      <c r="A208" s="10" t="s">
        <v>146</v>
      </c>
      <c r="B208" s="11">
        <v>45699</v>
      </c>
      <c r="C208" s="10" t="s">
        <v>32</v>
      </c>
      <c r="D208" s="10" t="s">
        <v>83</v>
      </c>
      <c r="E208" s="10" t="s">
        <v>34</v>
      </c>
      <c r="F208" s="10" t="s">
        <v>72</v>
      </c>
      <c r="G208" s="10" t="s">
        <v>47</v>
      </c>
      <c r="H208" s="10">
        <v>10</v>
      </c>
      <c r="I208" s="10">
        <v>46000</v>
      </c>
      <c r="J208" s="10">
        <v>39000</v>
      </c>
      <c r="K208" s="12">
        <v>0</v>
      </c>
      <c r="L208" s="10">
        <v>2</v>
      </c>
      <c r="M208" s="28" t="s">
        <v>147</v>
      </c>
      <c r="N208" s="29">
        <f>_xlfn.IFNA(VLOOKUP(Sales[customer_id],Cust[],11,FALSE),"Unknown")</f>
        <v>500000</v>
      </c>
      <c r="O208" s="29" t="str">
        <f>_xlfn.IFNA(VLOOKUP(Sales[customer_id], Cust[], 7,FALSE),"Unknown customer")</f>
        <v>Lagos</v>
      </c>
      <c r="P208" s="29" t="str">
        <f>_xlfn.IFNA(VLOOKUP(Sales[[#This Row],[customer_id]],Cust[],4, FALSE),"Unknown customer")</f>
        <v>Blessing Adeleke</v>
      </c>
      <c r="Q208" s="29" t="str">
        <f>_xlfn.IFNA(VLOOKUP(Sales[[#This Row],[customer_id]], Cust[], 10, FALSE), "Unknown customer")</f>
        <v>Wholesale</v>
      </c>
      <c r="R208" s="29">
        <f>SUM(Sales[quantity]*Sales[[#This Row],[unit_price_ngn]]*(1-Sales[[#This Row],[discount_pct]]))</f>
        <v>460000</v>
      </c>
      <c r="S208" s="29">
        <f>Sales[[#This Row],[revenue]]-(Sales[[#This Row],[quantity]]*Sales[[#This Row],[unit_cost_ngn]])</f>
        <v>70000</v>
      </c>
      <c r="T208" s="41" t="str">
        <f>TEXT(Sales[order_date], "yyyy-mm")</f>
        <v>2025-02</v>
      </c>
    </row>
    <row r="209" spans="1:20" ht="15" customHeight="1" x14ac:dyDescent="0.25">
      <c r="A209" s="10" t="s">
        <v>153</v>
      </c>
      <c r="B209" s="11">
        <v>45700</v>
      </c>
      <c r="C209" s="10" t="s">
        <v>32</v>
      </c>
      <c r="D209" s="10" t="s">
        <v>33</v>
      </c>
      <c r="E209" s="10" t="s">
        <v>56</v>
      </c>
      <c r="F209" s="10" t="s">
        <v>65</v>
      </c>
      <c r="G209" s="10" t="s">
        <v>66</v>
      </c>
      <c r="H209" s="10">
        <v>3</v>
      </c>
      <c r="I209" s="10">
        <v>24000</v>
      </c>
      <c r="J209" s="10">
        <v>14500</v>
      </c>
      <c r="K209" s="12">
        <v>0</v>
      </c>
      <c r="L209" s="10">
        <v>3</v>
      </c>
      <c r="M209" s="28" t="s">
        <v>37</v>
      </c>
      <c r="N209" s="29">
        <f>_xlfn.IFNA(VLOOKUP(Sales[customer_id],Cust[],11,FALSE),"Unknown")</f>
        <v>150000</v>
      </c>
      <c r="O209" s="29" t="str">
        <f>_xlfn.IFNA(VLOOKUP(Sales[customer_id], Cust[], 7,FALSE),"Unknown customer")</f>
        <v>Lagos</v>
      </c>
      <c r="P209" s="29" t="str">
        <f>_xlfn.IFNA(VLOOKUP(Sales[[#This Row],[customer_id]],Cust[],4, FALSE),"Unknown customer")</f>
        <v>Blessing Yusuf</v>
      </c>
      <c r="Q209" s="29" t="str">
        <f>_xlfn.IFNA(VLOOKUP(Sales[[#This Row],[customer_id]], Cust[], 10, FALSE), "Unknown customer")</f>
        <v>Corporate</v>
      </c>
      <c r="R209" s="29">
        <f>SUM(Sales[quantity]*Sales[[#This Row],[unit_price_ngn]]*(1-Sales[[#This Row],[discount_pct]]))</f>
        <v>72000</v>
      </c>
      <c r="S209" s="29">
        <f>Sales[[#This Row],[revenue]]-(Sales[[#This Row],[quantity]]*Sales[[#This Row],[unit_cost_ngn]])</f>
        <v>28500</v>
      </c>
      <c r="T209" s="41" t="str">
        <f>TEXT(Sales[order_date], "yyyy-mm")</f>
        <v>2025-02</v>
      </c>
    </row>
    <row r="210" spans="1:20" ht="15" customHeight="1" x14ac:dyDescent="0.25">
      <c r="A210" s="10" t="s">
        <v>154</v>
      </c>
      <c r="B210" s="11">
        <v>45703</v>
      </c>
      <c r="C210" s="10" t="s">
        <v>32</v>
      </c>
      <c r="D210" s="10" t="s">
        <v>83</v>
      </c>
      <c r="E210" s="10" t="s">
        <v>56</v>
      </c>
      <c r="F210" s="10" t="s">
        <v>46</v>
      </c>
      <c r="G210" s="10" t="s">
        <v>47</v>
      </c>
      <c r="H210" s="10">
        <v>4</v>
      </c>
      <c r="I210" s="10">
        <v>9800</v>
      </c>
      <c r="J210" s="10">
        <v>7600</v>
      </c>
      <c r="K210" s="12">
        <v>0</v>
      </c>
      <c r="L210" s="10">
        <v>3</v>
      </c>
      <c r="M210" s="28" t="s">
        <v>155</v>
      </c>
      <c r="N210" s="29">
        <f>_xlfn.IFNA(VLOOKUP(Sales[customer_id],Cust[],11,FALSE),"Unknown")</f>
        <v>100000</v>
      </c>
      <c r="O210" s="29" t="str">
        <f>_xlfn.IFNA(VLOOKUP(Sales[customer_id], Cust[], 7,FALSE),"Unknown customer")</f>
        <v>Lagos</v>
      </c>
      <c r="P210" s="29" t="str">
        <f>_xlfn.IFNA(VLOOKUP(Sales[[#This Row],[customer_id]],Cust[],4, FALSE),"Unknown customer")</f>
        <v>Emeka Danjuma</v>
      </c>
      <c r="Q210" s="29" t="str">
        <f>_xlfn.IFNA(VLOOKUP(Sales[[#This Row],[customer_id]], Cust[], 10, FALSE), "Unknown customer")</f>
        <v>Retail</v>
      </c>
      <c r="R210" s="29">
        <f>SUM(Sales[quantity]*Sales[[#This Row],[unit_price_ngn]]*(1-Sales[[#This Row],[discount_pct]]))</f>
        <v>39200</v>
      </c>
      <c r="S210" s="29">
        <f>Sales[[#This Row],[revenue]]-(Sales[[#This Row],[quantity]]*Sales[[#This Row],[unit_cost_ngn]])</f>
        <v>8800</v>
      </c>
      <c r="T210" s="41" t="str">
        <f>TEXT(Sales[order_date], "yyyy-mm")</f>
        <v>2025-02</v>
      </c>
    </row>
    <row r="211" spans="1:20" ht="15" customHeight="1" x14ac:dyDescent="0.25">
      <c r="A211" s="10" t="s">
        <v>158</v>
      </c>
      <c r="B211" s="11">
        <v>45705</v>
      </c>
      <c r="C211" s="10" t="s">
        <v>32</v>
      </c>
      <c r="D211" s="10" t="s">
        <v>83</v>
      </c>
      <c r="E211" s="10" t="s">
        <v>56</v>
      </c>
      <c r="F211" s="10" t="s">
        <v>65</v>
      </c>
      <c r="G211" s="10" t="s">
        <v>66</v>
      </c>
      <c r="H211" s="10">
        <v>1</v>
      </c>
      <c r="I211" s="10">
        <v>24000</v>
      </c>
      <c r="J211" s="10">
        <v>14500</v>
      </c>
      <c r="K211" s="12">
        <v>0</v>
      </c>
      <c r="L211" s="10">
        <v>5</v>
      </c>
      <c r="M211" s="28" t="s">
        <v>159</v>
      </c>
      <c r="N211" s="29">
        <f>_xlfn.IFNA(VLOOKUP(Sales[customer_id],Cust[],11,FALSE),"Unknown")</f>
        <v>250000</v>
      </c>
      <c r="O211" s="29" t="str">
        <f>_xlfn.IFNA(VLOOKUP(Sales[customer_id], Cust[], 7,FALSE),"Unknown customer")</f>
        <v>Lagos</v>
      </c>
      <c r="P211" s="29" t="str">
        <f>_xlfn.IFNA(VLOOKUP(Sales[[#This Row],[customer_id]],Cust[],4, FALSE),"Unknown customer")</f>
        <v>Temitope Okonkwo</v>
      </c>
      <c r="Q211" s="29" t="str">
        <f>_xlfn.IFNA(VLOOKUP(Sales[[#This Row],[customer_id]], Cust[], 10, FALSE), "Unknown customer")</f>
        <v>Wholesale</v>
      </c>
      <c r="R211" s="29">
        <f>SUM(Sales[quantity]*Sales[[#This Row],[unit_price_ngn]]*(1-Sales[[#This Row],[discount_pct]]))</f>
        <v>24000</v>
      </c>
      <c r="S211" s="29">
        <f>Sales[[#This Row],[revenue]]-(Sales[[#This Row],[quantity]]*Sales[[#This Row],[unit_cost_ngn]])</f>
        <v>9500</v>
      </c>
      <c r="T211" s="41" t="str">
        <f>TEXT(Sales[order_date], "yyyy-mm")</f>
        <v>2025-02</v>
      </c>
    </row>
    <row r="212" spans="1:20" ht="15" customHeight="1" x14ac:dyDescent="0.25">
      <c r="A212" s="10" t="s">
        <v>162</v>
      </c>
      <c r="B212" s="11">
        <v>45708</v>
      </c>
      <c r="C212" s="10" t="s">
        <v>32</v>
      </c>
      <c r="D212" s="10" t="s">
        <v>83</v>
      </c>
      <c r="E212" s="10" t="s">
        <v>34</v>
      </c>
      <c r="F212" s="10" t="s">
        <v>88</v>
      </c>
      <c r="G212" s="10" t="s">
        <v>89</v>
      </c>
      <c r="H212" s="10">
        <v>1</v>
      </c>
      <c r="I212" s="10">
        <v>6800</v>
      </c>
      <c r="J212" s="10">
        <v>3900</v>
      </c>
      <c r="K212" s="12">
        <v>0</v>
      </c>
      <c r="L212" s="10">
        <v>7</v>
      </c>
      <c r="M212" s="28" t="s">
        <v>163</v>
      </c>
      <c r="N212" s="29">
        <f>_xlfn.IFNA(VLOOKUP(Sales[customer_id],Cust[],11,FALSE),"Unknown")</f>
        <v>500000</v>
      </c>
      <c r="O212" s="29" t="str">
        <f>_xlfn.IFNA(VLOOKUP(Sales[customer_id], Cust[], 7,FALSE),"Unknown customer")</f>
        <v>Lagos</v>
      </c>
      <c r="P212" s="29" t="str">
        <f>_xlfn.IFNA(VLOOKUP(Sales[[#This Row],[customer_id]],Cust[],4, FALSE),"Unknown customer")</f>
        <v>Jide Lawal</v>
      </c>
      <c r="Q212" s="29" t="str">
        <f>_xlfn.IFNA(VLOOKUP(Sales[[#This Row],[customer_id]], Cust[], 10, FALSE), "Unknown customer")</f>
        <v>Retail</v>
      </c>
      <c r="R212" s="29">
        <f>SUM(Sales[quantity]*Sales[[#This Row],[unit_price_ngn]]*(1-Sales[[#This Row],[discount_pct]]))</f>
        <v>6800</v>
      </c>
      <c r="S212" s="29">
        <f>Sales[[#This Row],[revenue]]-(Sales[[#This Row],[quantity]]*Sales[[#This Row],[unit_cost_ngn]])</f>
        <v>2900</v>
      </c>
      <c r="T212" s="41" t="str">
        <f>TEXT(Sales[order_date], "yyyy-mm")</f>
        <v>2025-02</v>
      </c>
    </row>
    <row r="213" spans="1:20" ht="15" customHeight="1" x14ac:dyDescent="0.25">
      <c r="A213" s="10" t="s">
        <v>165</v>
      </c>
      <c r="B213" s="11">
        <v>45709</v>
      </c>
      <c r="C213" s="10" t="s">
        <v>32</v>
      </c>
      <c r="D213" s="10" t="s">
        <v>83</v>
      </c>
      <c r="E213" s="10" t="s">
        <v>75</v>
      </c>
      <c r="F213" s="10" t="s">
        <v>60</v>
      </c>
      <c r="G213" s="10" t="s">
        <v>61</v>
      </c>
      <c r="H213" s="10">
        <v>3</v>
      </c>
      <c r="I213" s="10">
        <v>12000</v>
      </c>
      <c r="J213" s="10">
        <v>7200</v>
      </c>
      <c r="K213" s="12">
        <v>0</v>
      </c>
      <c r="L213" s="10">
        <v>2</v>
      </c>
      <c r="M213" s="28" t="s">
        <v>166</v>
      </c>
      <c r="N213" s="29">
        <f>_xlfn.IFNA(VLOOKUP(Sales[customer_id],Cust[],11,FALSE),"Unknown")</f>
        <v>50000</v>
      </c>
      <c r="O213" s="29" t="str">
        <f>_xlfn.IFNA(VLOOKUP(Sales[customer_id], Cust[], 7,FALSE),"Unknown customer")</f>
        <v>Lagos</v>
      </c>
      <c r="P213" s="29" t="str">
        <f>_xlfn.IFNA(VLOOKUP(Sales[[#This Row],[customer_id]],Cust[],4, FALSE),"Unknown customer")</f>
        <v>Fatima Ogunleye</v>
      </c>
      <c r="Q213" s="29" t="str">
        <f>_xlfn.IFNA(VLOOKUP(Sales[[#This Row],[customer_id]], Cust[], 10, FALSE), "Unknown customer")</f>
        <v>Wholesale</v>
      </c>
      <c r="R213" s="29">
        <f>SUM(Sales[quantity]*Sales[[#This Row],[unit_price_ngn]]*(1-Sales[[#This Row],[discount_pct]]))</f>
        <v>36000</v>
      </c>
      <c r="S213" s="29">
        <f>Sales[[#This Row],[revenue]]-(Sales[[#This Row],[quantity]]*Sales[[#This Row],[unit_cost_ngn]])</f>
        <v>14400</v>
      </c>
      <c r="T213" s="41" t="str">
        <f>TEXT(Sales[order_date], "yyyy-mm")</f>
        <v>2025-02</v>
      </c>
    </row>
    <row r="214" spans="1:20" ht="15" customHeight="1" x14ac:dyDescent="0.25">
      <c r="A214" s="10" t="s">
        <v>168</v>
      </c>
      <c r="B214" s="11">
        <v>45711</v>
      </c>
      <c r="C214" s="10" t="s">
        <v>32</v>
      </c>
      <c r="D214" s="10" t="s">
        <v>83</v>
      </c>
      <c r="E214" s="10" t="s">
        <v>45</v>
      </c>
      <c r="F214" s="10" t="s">
        <v>57</v>
      </c>
      <c r="G214" s="10" t="s">
        <v>51</v>
      </c>
      <c r="H214" s="10">
        <v>4</v>
      </c>
      <c r="I214" s="10">
        <v>27500</v>
      </c>
      <c r="J214" s="10">
        <v>16500</v>
      </c>
      <c r="K214" s="12">
        <v>0.05</v>
      </c>
      <c r="L214" s="10">
        <v>1</v>
      </c>
      <c r="M214" s="28" t="s">
        <v>169</v>
      </c>
      <c r="N214" s="29">
        <f>_xlfn.IFNA(VLOOKUP(Sales[customer_id],Cust[],11,FALSE),"Unknown")</f>
        <v>100000</v>
      </c>
      <c r="O214" s="29" t="str">
        <f>_xlfn.IFNA(VLOOKUP(Sales[customer_id], Cust[], 7,FALSE),"Unknown customer")</f>
        <v>Lagos</v>
      </c>
      <c r="P214" s="29" t="str">
        <f>_xlfn.IFNA(VLOOKUP(Sales[[#This Row],[customer_id]],Cust[],4, FALSE),"Unknown customer")</f>
        <v>Ibrahim Obi</v>
      </c>
      <c r="Q214" s="29" t="str">
        <f>_xlfn.IFNA(VLOOKUP(Sales[[#This Row],[customer_id]], Cust[], 10, FALSE), "Unknown customer")</f>
        <v>Retail</v>
      </c>
      <c r="R214" s="29">
        <f>SUM(Sales[quantity]*Sales[[#This Row],[unit_price_ngn]]*(1-Sales[[#This Row],[discount_pct]]))</f>
        <v>104500</v>
      </c>
      <c r="S214" s="29">
        <f>Sales[[#This Row],[revenue]]-(Sales[[#This Row],[quantity]]*Sales[[#This Row],[unit_cost_ngn]])</f>
        <v>38500</v>
      </c>
      <c r="T214" s="41" t="str">
        <f>TEXT(Sales[order_date], "yyyy-mm")</f>
        <v>2025-02</v>
      </c>
    </row>
    <row r="215" spans="1:20" ht="15" customHeight="1" x14ac:dyDescent="0.25">
      <c r="A215" s="10" t="s">
        <v>170</v>
      </c>
      <c r="B215" s="11">
        <v>45712</v>
      </c>
      <c r="C215" s="10" t="s">
        <v>32</v>
      </c>
      <c r="D215" s="10" t="s">
        <v>83</v>
      </c>
      <c r="E215" s="10" t="s">
        <v>45</v>
      </c>
      <c r="F215" s="10" t="s">
        <v>46</v>
      </c>
      <c r="G215" s="10" t="s">
        <v>47</v>
      </c>
      <c r="H215" s="10">
        <v>2</v>
      </c>
      <c r="I215" s="10">
        <v>9800</v>
      </c>
      <c r="J215" s="10">
        <v>7600</v>
      </c>
      <c r="K215" s="12">
        <v>0</v>
      </c>
      <c r="L215" s="10">
        <v>5</v>
      </c>
      <c r="M215" s="28" t="s">
        <v>155</v>
      </c>
      <c r="N215" s="29">
        <f>_xlfn.IFNA(VLOOKUP(Sales[customer_id],Cust[],11,FALSE),"Unknown")</f>
        <v>100000</v>
      </c>
      <c r="O215" s="29" t="str">
        <f>_xlfn.IFNA(VLOOKUP(Sales[customer_id], Cust[], 7,FALSE),"Unknown customer")</f>
        <v>Lagos</v>
      </c>
      <c r="P215" s="29" t="str">
        <f>_xlfn.IFNA(VLOOKUP(Sales[[#This Row],[customer_id]],Cust[],4, FALSE),"Unknown customer")</f>
        <v>Emeka Danjuma</v>
      </c>
      <c r="Q215" s="29" t="str">
        <f>_xlfn.IFNA(VLOOKUP(Sales[[#This Row],[customer_id]], Cust[], 10, FALSE), "Unknown customer")</f>
        <v>Retail</v>
      </c>
      <c r="R215" s="29">
        <f>SUM(Sales[quantity]*Sales[[#This Row],[unit_price_ngn]]*(1-Sales[[#This Row],[discount_pct]]))</f>
        <v>19600</v>
      </c>
      <c r="S215" s="29">
        <f>Sales[[#This Row],[revenue]]-(Sales[[#This Row],[quantity]]*Sales[[#This Row],[unit_cost_ngn]])</f>
        <v>4400</v>
      </c>
      <c r="T215" s="41" t="str">
        <f>TEXT(Sales[order_date], "yyyy-mm")</f>
        <v>2025-02</v>
      </c>
    </row>
    <row r="216" spans="1:20" ht="15" customHeight="1" x14ac:dyDescent="0.25">
      <c r="A216" s="10" t="s">
        <v>173</v>
      </c>
      <c r="B216" s="11">
        <v>45714</v>
      </c>
      <c r="C216" s="10" t="s">
        <v>32</v>
      </c>
      <c r="D216" s="10" t="s">
        <v>33</v>
      </c>
      <c r="E216" s="10" t="s">
        <v>75</v>
      </c>
      <c r="F216" s="10" t="s">
        <v>35</v>
      </c>
      <c r="G216" s="10" t="s">
        <v>36</v>
      </c>
      <c r="H216" s="10">
        <v>3</v>
      </c>
      <c r="I216" s="10">
        <v>18500</v>
      </c>
      <c r="J216" s="10">
        <v>11800</v>
      </c>
      <c r="K216" s="12">
        <v>0.1</v>
      </c>
      <c r="L216" s="10">
        <v>2</v>
      </c>
      <c r="M216" s="28" t="s">
        <v>174</v>
      </c>
      <c r="N216" s="29">
        <f>_xlfn.IFNA(VLOOKUP(Sales[customer_id],Cust[],11,FALSE),"Unknown")</f>
        <v>500000</v>
      </c>
      <c r="O216" s="29" t="str">
        <f>_xlfn.IFNA(VLOOKUP(Sales[customer_id], Cust[], 7,FALSE),"Unknown customer")</f>
        <v>Lagos</v>
      </c>
      <c r="P216" s="29" t="str">
        <f>_xlfn.IFNA(VLOOKUP(Sales[[#This Row],[customer_id]],Cust[],4, FALSE),"Unknown customer")</f>
        <v>Yemi Ogunleye</v>
      </c>
      <c r="Q216" s="29" t="str">
        <f>_xlfn.IFNA(VLOOKUP(Sales[[#This Row],[customer_id]], Cust[], 10, FALSE), "Unknown customer")</f>
        <v>Retail</v>
      </c>
      <c r="R216" s="29">
        <f>SUM(Sales[quantity]*Sales[[#This Row],[unit_price_ngn]]*(1-Sales[[#This Row],[discount_pct]]))</f>
        <v>49950</v>
      </c>
      <c r="S216" s="29">
        <f>Sales[[#This Row],[revenue]]-(Sales[[#This Row],[quantity]]*Sales[[#This Row],[unit_cost_ngn]])</f>
        <v>14550</v>
      </c>
      <c r="T216" s="41" t="str">
        <f>TEXT(Sales[order_date], "yyyy-mm")</f>
        <v>2025-02</v>
      </c>
    </row>
    <row r="217" spans="1:20" ht="15" customHeight="1" x14ac:dyDescent="0.25">
      <c r="A217" s="10" t="s">
        <v>182</v>
      </c>
      <c r="B217" s="11">
        <v>45721</v>
      </c>
      <c r="C217" s="10" t="s">
        <v>32</v>
      </c>
      <c r="D217" s="10" t="s">
        <v>83</v>
      </c>
      <c r="E217" s="10" t="s">
        <v>34</v>
      </c>
      <c r="F217" s="10" t="s">
        <v>35</v>
      </c>
      <c r="G217" s="10" t="s">
        <v>36</v>
      </c>
      <c r="H217" s="10">
        <v>2</v>
      </c>
      <c r="I217" s="10">
        <v>18500</v>
      </c>
      <c r="J217" s="10">
        <v>11800</v>
      </c>
      <c r="K217" s="12">
        <v>0</v>
      </c>
      <c r="L217" s="10">
        <v>2</v>
      </c>
      <c r="M217" s="28" t="s">
        <v>97</v>
      </c>
      <c r="N217" s="29">
        <f>_xlfn.IFNA(VLOOKUP(Sales[customer_id],Cust[],11,FALSE),"Unknown")</f>
        <v>150000</v>
      </c>
      <c r="O217" s="29" t="str">
        <f>_xlfn.IFNA(VLOOKUP(Sales[customer_id], Cust[], 7,FALSE),"Unknown customer")</f>
        <v>Lagos</v>
      </c>
      <c r="P217" s="29" t="str">
        <f>_xlfn.IFNA(VLOOKUP(Sales[[#This Row],[customer_id]],Cust[],4, FALSE),"Unknown customer")</f>
        <v>Ibrahim Peters</v>
      </c>
      <c r="Q217" s="29" t="str">
        <f>_xlfn.IFNA(VLOOKUP(Sales[[#This Row],[customer_id]], Cust[], 10, FALSE), "Unknown customer")</f>
        <v>Retail</v>
      </c>
      <c r="R217" s="29">
        <f>SUM(Sales[quantity]*Sales[[#This Row],[unit_price_ngn]]*(1-Sales[[#This Row],[discount_pct]]))</f>
        <v>37000</v>
      </c>
      <c r="S217" s="29">
        <f>Sales[[#This Row],[revenue]]-(Sales[[#This Row],[quantity]]*Sales[[#This Row],[unit_cost_ngn]])</f>
        <v>13400</v>
      </c>
      <c r="T217" s="41" t="str">
        <f>TEXT(Sales[order_date], "yyyy-mm")</f>
        <v>2025-03</v>
      </c>
    </row>
    <row r="218" spans="1:20" ht="15" customHeight="1" x14ac:dyDescent="0.25">
      <c r="A218" s="10" t="s">
        <v>189</v>
      </c>
      <c r="B218" s="11">
        <v>45727</v>
      </c>
      <c r="C218" s="10" t="s">
        <v>32</v>
      </c>
      <c r="D218" s="10" t="s">
        <v>83</v>
      </c>
      <c r="E218" s="10" t="s">
        <v>34</v>
      </c>
      <c r="F218" s="10" t="s">
        <v>72</v>
      </c>
      <c r="G218" s="10" t="s">
        <v>47</v>
      </c>
      <c r="H218" s="10">
        <v>5</v>
      </c>
      <c r="I218" s="10">
        <v>46000</v>
      </c>
      <c r="J218" s="10">
        <v>39000</v>
      </c>
      <c r="K218" s="12">
        <v>0</v>
      </c>
      <c r="L218" s="10">
        <v>3</v>
      </c>
      <c r="M218" s="28" t="s">
        <v>79</v>
      </c>
      <c r="N218" s="29">
        <f>_xlfn.IFNA(VLOOKUP(Sales[customer_id],Cust[],11,FALSE),"Unknown")</f>
        <v>500000</v>
      </c>
      <c r="O218" s="29" t="str">
        <f>_xlfn.IFNA(VLOOKUP(Sales[customer_id], Cust[], 7,FALSE),"Unknown customer")</f>
        <v>Lagos</v>
      </c>
      <c r="P218" s="29" t="str">
        <f>_xlfn.IFNA(VLOOKUP(Sales[[#This Row],[customer_id]],Cust[],4, FALSE),"Unknown customer")</f>
        <v>Ibrahim Ogunleye</v>
      </c>
      <c r="Q218" s="29" t="str">
        <f>_xlfn.IFNA(VLOOKUP(Sales[[#This Row],[customer_id]], Cust[], 10, FALSE), "Unknown customer")</f>
        <v>Retail</v>
      </c>
      <c r="R218" s="29">
        <f>SUM(Sales[quantity]*Sales[[#This Row],[unit_price_ngn]]*(1-Sales[[#This Row],[discount_pct]]))</f>
        <v>230000</v>
      </c>
      <c r="S218" s="29">
        <f>Sales[[#This Row],[revenue]]-(Sales[[#This Row],[quantity]]*Sales[[#This Row],[unit_cost_ngn]])</f>
        <v>35000</v>
      </c>
      <c r="T218" s="41" t="str">
        <f>TEXT(Sales[order_date], "yyyy-mm")</f>
        <v>2025-03</v>
      </c>
    </row>
    <row r="219" spans="1:20" ht="15" customHeight="1" x14ac:dyDescent="0.25">
      <c r="A219" s="10" t="s">
        <v>200</v>
      </c>
      <c r="B219" s="11">
        <v>45733</v>
      </c>
      <c r="C219" s="10" t="s">
        <v>32</v>
      </c>
      <c r="D219" s="10" t="s">
        <v>83</v>
      </c>
      <c r="E219" s="10" t="s">
        <v>75</v>
      </c>
      <c r="F219" s="10" t="s">
        <v>65</v>
      </c>
      <c r="G219" s="10" t="s">
        <v>66</v>
      </c>
      <c r="H219" s="10">
        <v>1</v>
      </c>
      <c r="I219" s="10">
        <v>24000</v>
      </c>
      <c r="J219" s="10">
        <v>14500</v>
      </c>
      <c r="K219" s="12">
        <v>0</v>
      </c>
      <c r="L219" s="10">
        <v>1</v>
      </c>
      <c r="M219" s="28" t="s">
        <v>201</v>
      </c>
      <c r="N219" s="29">
        <f>_xlfn.IFNA(VLOOKUP(Sales[customer_id],Cust[],11,FALSE),"Unknown")</f>
        <v>250000</v>
      </c>
      <c r="O219" s="29" t="str">
        <f>_xlfn.IFNA(VLOOKUP(Sales[customer_id], Cust[], 7,FALSE),"Unknown customer")</f>
        <v>Lagos</v>
      </c>
      <c r="P219" s="29" t="str">
        <f>_xlfn.IFNA(VLOOKUP(Sales[[#This Row],[customer_id]],Cust[],4, FALSE),"Unknown customer")</f>
        <v>Yemi Adeyemi</v>
      </c>
      <c r="Q219" s="29" t="str">
        <f>_xlfn.IFNA(VLOOKUP(Sales[[#This Row],[customer_id]], Cust[], 10, FALSE), "Unknown customer")</f>
        <v>Wholesale</v>
      </c>
      <c r="R219" s="29">
        <f>SUM(Sales[quantity]*Sales[[#This Row],[unit_price_ngn]]*(1-Sales[[#This Row],[discount_pct]]))</f>
        <v>24000</v>
      </c>
      <c r="S219" s="29">
        <f>Sales[[#This Row],[revenue]]-(Sales[[#This Row],[quantity]]*Sales[[#This Row],[unit_cost_ngn]])</f>
        <v>9500</v>
      </c>
      <c r="T219" s="41" t="str">
        <f>TEXT(Sales[order_date], "yyyy-mm")</f>
        <v>2025-03</v>
      </c>
    </row>
    <row r="220" spans="1:20" ht="15" customHeight="1" x14ac:dyDescent="0.25">
      <c r="A220" s="10" t="s">
        <v>213</v>
      </c>
      <c r="B220" s="11">
        <v>45739</v>
      </c>
      <c r="C220" s="10" t="s">
        <v>32</v>
      </c>
      <c r="D220" s="10" t="s">
        <v>83</v>
      </c>
      <c r="E220" s="10" t="s">
        <v>34</v>
      </c>
      <c r="F220" s="10" t="s">
        <v>101</v>
      </c>
      <c r="G220" s="10" t="s">
        <v>61</v>
      </c>
      <c r="H220" s="10">
        <v>5</v>
      </c>
      <c r="I220" s="10">
        <v>28000</v>
      </c>
      <c r="J220" s="10">
        <v>18500</v>
      </c>
      <c r="K220" s="12">
        <v>0</v>
      </c>
      <c r="L220" s="10">
        <v>2</v>
      </c>
      <c r="M220" s="28" t="s">
        <v>155</v>
      </c>
      <c r="N220" s="29">
        <f>_xlfn.IFNA(VLOOKUP(Sales[customer_id],Cust[],11,FALSE),"Unknown")</f>
        <v>100000</v>
      </c>
      <c r="O220" s="29" t="str">
        <f>_xlfn.IFNA(VLOOKUP(Sales[customer_id], Cust[], 7,FALSE),"Unknown customer")</f>
        <v>Lagos</v>
      </c>
      <c r="P220" s="29" t="str">
        <f>_xlfn.IFNA(VLOOKUP(Sales[[#This Row],[customer_id]],Cust[],4, FALSE),"Unknown customer")</f>
        <v>Emeka Danjuma</v>
      </c>
      <c r="Q220" s="29" t="str">
        <f>_xlfn.IFNA(VLOOKUP(Sales[[#This Row],[customer_id]], Cust[], 10, FALSE), "Unknown customer")</f>
        <v>Retail</v>
      </c>
      <c r="R220" s="29">
        <f>SUM(Sales[quantity]*Sales[[#This Row],[unit_price_ngn]]*(1-Sales[[#This Row],[discount_pct]]))</f>
        <v>140000</v>
      </c>
      <c r="S220" s="29">
        <f>Sales[[#This Row],[revenue]]-(Sales[[#This Row],[quantity]]*Sales[[#This Row],[unit_cost_ngn]])</f>
        <v>47500</v>
      </c>
      <c r="T220" s="41" t="str">
        <f>TEXT(Sales[order_date], "yyyy-mm")</f>
        <v>2025-03</v>
      </c>
    </row>
    <row r="221" spans="1:20" ht="15" customHeight="1" x14ac:dyDescent="0.25">
      <c r="A221" s="10" t="s">
        <v>214</v>
      </c>
      <c r="B221" s="11">
        <v>45740</v>
      </c>
      <c r="C221" s="10" t="s">
        <v>32</v>
      </c>
      <c r="D221" s="10" t="s">
        <v>33</v>
      </c>
      <c r="E221" s="10" t="s">
        <v>75</v>
      </c>
      <c r="F221" s="10" t="s">
        <v>57</v>
      </c>
      <c r="G221" s="10" t="s">
        <v>51</v>
      </c>
      <c r="H221" s="10">
        <v>5</v>
      </c>
      <c r="I221" s="10">
        <v>27500</v>
      </c>
      <c r="J221" s="10">
        <v>16500</v>
      </c>
      <c r="K221" s="12">
        <v>0</v>
      </c>
      <c r="L221" s="10">
        <v>5</v>
      </c>
      <c r="M221" s="28" t="s">
        <v>155</v>
      </c>
      <c r="N221" s="29">
        <f>_xlfn.IFNA(VLOOKUP(Sales[customer_id],Cust[],11,FALSE),"Unknown")</f>
        <v>100000</v>
      </c>
      <c r="O221" s="29" t="str">
        <f>_xlfn.IFNA(VLOOKUP(Sales[customer_id], Cust[], 7,FALSE),"Unknown customer")</f>
        <v>Lagos</v>
      </c>
      <c r="P221" s="29" t="str">
        <f>_xlfn.IFNA(VLOOKUP(Sales[[#This Row],[customer_id]],Cust[],4, FALSE),"Unknown customer")</f>
        <v>Emeka Danjuma</v>
      </c>
      <c r="Q221" s="29" t="str">
        <f>_xlfn.IFNA(VLOOKUP(Sales[[#This Row],[customer_id]], Cust[], 10, FALSE), "Unknown customer")</f>
        <v>Retail</v>
      </c>
      <c r="R221" s="29">
        <f>SUM(Sales[quantity]*Sales[[#This Row],[unit_price_ngn]]*(1-Sales[[#This Row],[discount_pct]]))</f>
        <v>137500</v>
      </c>
      <c r="S221" s="29">
        <f>Sales[[#This Row],[revenue]]-(Sales[[#This Row],[quantity]]*Sales[[#This Row],[unit_cost_ngn]])</f>
        <v>55000</v>
      </c>
      <c r="T221" s="41" t="str">
        <f>TEXT(Sales[order_date], "yyyy-mm")</f>
        <v>2025-03</v>
      </c>
    </row>
    <row r="222" spans="1:20" ht="15" customHeight="1" x14ac:dyDescent="0.25">
      <c r="A222" s="10" t="s">
        <v>219</v>
      </c>
      <c r="B222" s="11">
        <v>45746</v>
      </c>
      <c r="C222" s="10" t="s">
        <v>32</v>
      </c>
      <c r="D222" s="10" t="s">
        <v>83</v>
      </c>
      <c r="E222" s="10" t="s">
        <v>45</v>
      </c>
      <c r="F222" s="10" t="s">
        <v>65</v>
      </c>
      <c r="G222" s="10" t="s">
        <v>66</v>
      </c>
      <c r="H222" s="10">
        <v>2</v>
      </c>
      <c r="I222" s="10">
        <v>24000</v>
      </c>
      <c r="J222" s="10">
        <v>14500</v>
      </c>
      <c r="K222" s="12">
        <v>0</v>
      </c>
      <c r="L222" s="10">
        <v>1</v>
      </c>
      <c r="M222" s="28" t="s">
        <v>220</v>
      </c>
      <c r="N222" s="29">
        <f>_xlfn.IFNA(VLOOKUP(Sales[customer_id],Cust[],11,FALSE),"Unknown")</f>
        <v>150000</v>
      </c>
      <c r="O222" s="29" t="str">
        <f>_xlfn.IFNA(VLOOKUP(Sales[customer_id], Cust[], 7,FALSE),"Unknown customer")</f>
        <v>Lagos</v>
      </c>
      <c r="P222" s="29" t="str">
        <f>_xlfn.IFNA(VLOOKUP(Sales[[#This Row],[customer_id]],Cust[],4, FALSE),"Unknown customer")</f>
        <v>Chiamaka Fashola</v>
      </c>
      <c r="Q222" s="29" t="str">
        <f>_xlfn.IFNA(VLOOKUP(Sales[[#This Row],[customer_id]], Cust[], 10, FALSE), "Unknown customer")</f>
        <v>Retail</v>
      </c>
      <c r="R222" s="29">
        <f>SUM(Sales[quantity]*Sales[[#This Row],[unit_price_ngn]]*(1-Sales[[#This Row],[discount_pct]]))</f>
        <v>48000</v>
      </c>
      <c r="S222" s="29">
        <f>Sales[[#This Row],[revenue]]-(Sales[[#This Row],[quantity]]*Sales[[#This Row],[unit_cost_ngn]])</f>
        <v>19000</v>
      </c>
      <c r="T222" s="41" t="str">
        <f>TEXT(Sales[order_date], "yyyy-mm")</f>
        <v>2025-03</v>
      </c>
    </row>
    <row r="223" spans="1:20" ht="15" customHeight="1" x14ac:dyDescent="0.25">
      <c r="A223" s="10" t="s">
        <v>221</v>
      </c>
      <c r="B223" s="11">
        <v>45747</v>
      </c>
      <c r="C223" s="10" t="s">
        <v>32</v>
      </c>
      <c r="D223" s="10" t="s">
        <v>33</v>
      </c>
      <c r="E223" s="10" t="s">
        <v>45</v>
      </c>
      <c r="F223" s="10" t="s">
        <v>101</v>
      </c>
      <c r="G223" s="10" t="s">
        <v>61</v>
      </c>
      <c r="H223" s="10">
        <v>1</v>
      </c>
      <c r="I223" s="10">
        <v>28000</v>
      </c>
      <c r="J223" s="10">
        <v>18500</v>
      </c>
      <c r="K223" s="12">
        <v>0</v>
      </c>
      <c r="L223" s="10">
        <v>4</v>
      </c>
      <c r="M223" s="28" t="s">
        <v>84</v>
      </c>
      <c r="N223" s="29">
        <f>_xlfn.IFNA(VLOOKUP(Sales[customer_id],Cust[],11,FALSE),"Unknown")</f>
        <v>150000</v>
      </c>
      <c r="O223" s="29" t="str">
        <f>_xlfn.IFNA(VLOOKUP(Sales[customer_id], Cust[], 7,FALSE),"Unknown customer")</f>
        <v>Lagos</v>
      </c>
      <c r="P223" s="29" t="str">
        <f>_xlfn.IFNA(VLOOKUP(Sales[[#This Row],[customer_id]],Cust[],4, FALSE),"Unknown customer")</f>
        <v>Aisha Ojo</v>
      </c>
      <c r="Q223" s="29" t="str">
        <f>_xlfn.IFNA(VLOOKUP(Sales[[#This Row],[customer_id]], Cust[], 10, FALSE), "Unknown customer")</f>
        <v>Retail</v>
      </c>
      <c r="R223" s="29">
        <f>SUM(Sales[quantity]*Sales[[#This Row],[unit_price_ngn]]*(1-Sales[[#This Row],[discount_pct]]))</f>
        <v>28000</v>
      </c>
      <c r="S223" s="29">
        <f>Sales[[#This Row],[revenue]]-(Sales[[#This Row],[quantity]]*Sales[[#This Row],[unit_cost_ngn]])</f>
        <v>9500</v>
      </c>
      <c r="T223" s="41" t="str">
        <f>TEXT(Sales[order_date], "yyyy-mm")</f>
        <v>2025-03</v>
      </c>
    </row>
    <row r="224" spans="1:20" ht="15" customHeight="1" x14ac:dyDescent="0.25">
      <c r="A224" s="10" t="s">
        <v>228</v>
      </c>
      <c r="B224" s="11">
        <v>45754</v>
      </c>
      <c r="C224" s="10" t="s">
        <v>32</v>
      </c>
      <c r="D224" s="10" t="s">
        <v>33</v>
      </c>
      <c r="E224" s="10" t="s">
        <v>34</v>
      </c>
      <c r="F224" s="10" t="s">
        <v>50</v>
      </c>
      <c r="G224" s="10" t="s">
        <v>51</v>
      </c>
      <c r="H224" s="10">
        <v>3</v>
      </c>
      <c r="I224" s="10">
        <v>41000</v>
      </c>
      <c r="J224" s="10">
        <v>25000</v>
      </c>
      <c r="K224" s="12">
        <v>0</v>
      </c>
      <c r="L224" s="10">
        <v>3</v>
      </c>
      <c r="M224" s="28" t="s">
        <v>229</v>
      </c>
      <c r="N224" s="29">
        <f>_xlfn.IFNA(VLOOKUP(Sales[customer_id],Cust[],11,FALSE),"Unknown")</f>
        <v>500000</v>
      </c>
      <c r="O224" s="29" t="str">
        <f>_xlfn.IFNA(VLOOKUP(Sales[customer_id], Cust[], 7,FALSE),"Unknown customer")</f>
        <v>Lagos</v>
      </c>
      <c r="P224" s="29" t="str">
        <f>_xlfn.IFNA(VLOOKUP(Sales[[#This Row],[customer_id]],Cust[],4, FALSE),"Unknown customer")</f>
        <v>Adaeze Nwosu</v>
      </c>
      <c r="Q224" s="29" t="str">
        <f>_xlfn.IFNA(VLOOKUP(Sales[[#This Row],[customer_id]], Cust[], 10, FALSE), "Unknown customer")</f>
        <v>Retail</v>
      </c>
      <c r="R224" s="29">
        <f>SUM(Sales[quantity]*Sales[[#This Row],[unit_price_ngn]]*(1-Sales[[#This Row],[discount_pct]]))</f>
        <v>123000</v>
      </c>
      <c r="S224" s="29">
        <f>Sales[[#This Row],[revenue]]-(Sales[[#This Row],[quantity]]*Sales[[#This Row],[unit_cost_ngn]])</f>
        <v>48000</v>
      </c>
      <c r="T224" s="41" t="str">
        <f>TEXT(Sales[order_date], "yyyy-mm")</f>
        <v>2025-04</v>
      </c>
    </row>
    <row r="225" spans="1:20" ht="15" customHeight="1" x14ac:dyDescent="0.25">
      <c r="A225" s="10" t="s">
        <v>230</v>
      </c>
      <c r="B225" s="11">
        <v>45754</v>
      </c>
      <c r="C225" s="10" t="s">
        <v>32</v>
      </c>
      <c r="D225" s="10" t="s">
        <v>83</v>
      </c>
      <c r="E225" s="10" t="s">
        <v>45</v>
      </c>
      <c r="F225" s="10" t="s">
        <v>69</v>
      </c>
      <c r="G225" s="10" t="s">
        <v>66</v>
      </c>
      <c r="H225" s="10">
        <v>1</v>
      </c>
      <c r="I225" s="10">
        <v>32000</v>
      </c>
      <c r="J225" s="10">
        <v>21000</v>
      </c>
      <c r="K225" s="12">
        <v>0</v>
      </c>
      <c r="L225" s="10">
        <v>2</v>
      </c>
      <c r="M225" s="28" t="s">
        <v>231</v>
      </c>
      <c r="N225" s="29">
        <f>_xlfn.IFNA(VLOOKUP(Sales[customer_id],Cust[],11,FALSE),"Unknown")</f>
        <v>100000</v>
      </c>
      <c r="O225" s="29" t="str">
        <f>_xlfn.IFNA(VLOOKUP(Sales[customer_id], Cust[], 7,FALSE),"Unknown customer")</f>
        <v>Lagos</v>
      </c>
      <c r="P225" s="29" t="str">
        <f>_xlfn.IFNA(VLOOKUP(Sales[[#This Row],[customer_id]],Cust[],4, FALSE),"Unknown customer")</f>
        <v>Chidi Nnamdi</v>
      </c>
      <c r="Q225" s="29" t="str">
        <f>_xlfn.IFNA(VLOOKUP(Sales[[#This Row],[customer_id]], Cust[], 10, FALSE), "Unknown customer")</f>
        <v>Wholesale</v>
      </c>
      <c r="R225" s="29">
        <f>SUM(Sales[quantity]*Sales[[#This Row],[unit_price_ngn]]*(1-Sales[[#This Row],[discount_pct]]))</f>
        <v>32000</v>
      </c>
      <c r="S225" s="29">
        <f>Sales[[#This Row],[revenue]]-(Sales[[#This Row],[quantity]]*Sales[[#This Row],[unit_cost_ngn]])</f>
        <v>11000</v>
      </c>
      <c r="T225" s="41" t="str">
        <f>TEXT(Sales[order_date], "yyyy-mm")</f>
        <v>2025-04</v>
      </c>
    </row>
    <row r="226" spans="1:20" ht="15" customHeight="1" x14ac:dyDescent="0.25">
      <c r="A226" s="10" t="s">
        <v>232</v>
      </c>
      <c r="B226" s="11">
        <v>45755</v>
      </c>
      <c r="C226" s="10" t="s">
        <v>32</v>
      </c>
      <c r="D226" s="10" t="s">
        <v>33</v>
      </c>
      <c r="E226" s="10" t="s">
        <v>45</v>
      </c>
      <c r="F226" s="10" t="s">
        <v>72</v>
      </c>
      <c r="G226" s="10" t="s">
        <v>47</v>
      </c>
      <c r="H226" s="10">
        <v>5</v>
      </c>
      <c r="I226" s="10">
        <v>46000</v>
      </c>
      <c r="J226" s="10">
        <v>39000</v>
      </c>
      <c r="K226" s="12">
        <v>0.05</v>
      </c>
      <c r="L226" s="10">
        <v>2</v>
      </c>
      <c r="M226" s="28" t="s">
        <v>233</v>
      </c>
      <c r="N226" s="29">
        <f>_xlfn.IFNA(VLOOKUP(Sales[customer_id],Cust[],11,FALSE),"Unknown")</f>
        <v>150000</v>
      </c>
      <c r="O226" s="29" t="str">
        <f>_xlfn.IFNA(VLOOKUP(Sales[customer_id], Cust[], 7,FALSE),"Unknown customer")</f>
        <v>Lagos</v>
      </c>
      <c r="P226" s="29" t="str">
        <f>_xlfn.IFNA(VLOOKUP(Sales[[#This Row],[customer_id]],Cust[],4, FALSE),"Unknown customer")</f>
        <v>Grace Yusuf</v>
      </c>
      <c r="Q226" s="29" t="str">
        <f>_xlfn.IFNA(VLOOKUP(Sales[[#This Row],[customer_id]], Cust[], 10, FALSE), "Unknown customer")</f>
        <v>Retail</v>
      </c>
      <c r="R226" s="29">
        <f>SUM(Sales[quantity]*Sales[[#This Row],[unit_price_ngn]]*(1-Sales[[#This Row],[discount_pct]]))</f>
        <v>218500</v>
      </c>
      <c r="S226" s="29">
        <f>Sales[[#This Row],[revenue]]-(Sales[[#This Row],[quantity]]*Sales[[#This Row],[unit_cost_ngn]])</f>
        <v>23500</v>
      </c>
      <c r="T226" s="41" t="str">
        <f>TEXT(Sales[order_date], "yyyy-mm")</f>
        <v>2025-04</v>
      </c>
    </row>
    <row r="227" spans="1:20" ht="15" customHeight="1" x14ac:dyDescent="0.25">
      <c r="A227" s="10" t="s">
        <v>241</v>
      </c>
      <c r="B227" s="11">
        <v>45758</v>
      </c>
      <c r="C227" s="10" t="s">
        <v>32</v>
      </c>
      <c r="D227" s="10" t="s">
        <v>83</v>
      </c>
      <c r="E227" s="10" t="s">
        <v>45</v>
      </c>
      <c r="F227" s="10" t="s">
        <v>78</v>
      </c>
      <c r="G227" s="10" t="s">
        <v>36</v>
      </c>
      <c r="H227" s="10">
        <v>1</v>
      </c>
      <c r="I227" s="10">
        <v>22000</v>
      </c>
      <c r="J227" s="10">
        <v>13800</v>
      </c>
      <c r="K227" s="12">
        <v>0</v>
      </c>
      <c r="L227" s="10">
        <v>3</v>
      </c>
      <c r="M227" s="28" t="s">
        <v>242</v>
      </c>
      <c r="N227" s="29">
        <f>_xlfn.IFNA(VLOOKUP(Sales[customer_id],Cust[],11,FALSE),"Unknown")</f>
        <v>500000</v>
      </c>
      <c r="O227" s="29" t="str">
        <f>_xlfn.IFNA(VLOOKUP(Sales[customer_id], Cust[], 7,FALSE),"Unknown customer")</f>
        <v>Lagos</v>
      </c>
      <c r="P227" s="29" t="str">
        <f>_xlfn.IFNA(VLOOKUP(Sales[[#This Row],[customer_id]],Cust[],4, FALSE),"Unknown customer")</f>
        <v>Ifeoma Adebayo</v>
      </c>
      <c r="Q227" s="29" t="str">
        <f>_xlfn.IFNA(VLOOKUP(Sales[[#This Row],[customer_id]], Cust[], 10, FALSE), "Unknown customer")</f>
        <v>Wholesale</v>
      </c>
      <c r="R227" s="29">
        <f>SUM(Sales[quantity]*Sales[[#This Row],[unit_price_ngn]]*(1-Sales[[#This Row],[discount_pct]]))</f>
        <v>22000</v>
      </c>
      <c r="S227" s="29">
        <f>Sales[[#This Row],[revenue]]-(Sales[[#This Row],[quantity]]*Sales[[#This Row],[unit_cost_ngn]])</f>
        <v>8200</v>
      </c>
      <c r="T227" s="41" t="str">
        <f>TEXT(Sales[order_date], "yyyy-mm")</f>
        <v>2025-04</v>
      </c>
    </row>
    <row r="228" spans="1:20" ht="15" customHeight="1" x14ac:dyDescent="0.25">
      <c r="A228" s="10" t="s">
        <v>246</v>
      </c>
      <c r="B228" s="11">
        <v>45760</v>
      </c>
      <c r="C228" s="10" t="s">
        <v>32</v>
      </c>
      <c r="D228" s="10" t="s">
        <v>33</v>
      </c>
      <c r="E228" s="10" t="s">
        <v>56</v>
      </c>
      <c r="F228" s="10" t="s">
        <v>199</v>
      </c>
      <c r="G228" s="10" t="s">
        <v>36</v>
      </c>
      <c r="H228" s="10">
        <v>3</v>
      </c>
      <c r="I228" s="10">
        <v>15500</v>
      </c>
      <c r="J228" s="10">
        <v>9900</v>
      </c>
      <c r="K228" s="12">
        <v>0</v>
      </c>
      <c r="L228" s="10">
        <v>4</v>
      </c>
      <c r="M228" s="28" t="s">
        <v>229</v>
      </c>
      <c r="N228" s="29">
        <f>_xlfn.IFNA(VLOOKUP(Sales[customer_id],Cust[],11,FALSE),"Unknown")</f>
        <v>500000</v>
      </c>
      <c r="O228" s="29" t="str">
        <f>_xlfn.IFNA(VLOOKUP(Sales[customer_id], Cust[], 7,FALSE),"Unknown customer")</f>
        <v>Lagos</v>
      </c>
      <c r="P228" s="29" t="str">
        <f>_xlfn.IFNA(VLOOKUP(Sales[[#This Row],[customer_id]],Cust[],4, FALSE),"Unknown customer")</f>
        <v>Adaeze Nwosu</v>
      </c>
      <c r="Q228" s="29" t="str">
        <f>_xlfn.IFNA(VLOOKUP(Sales[[#This Row],[customer_id]], Cust[], 10, FALSE), "Unknown customer")</f>
        <v>Retail</v>
      </c>
      <c r="R228" s="29">
        <f>SUM(Sales[quantity]*Sales[[#This Row],[unit_price_ngn]]*(1-Sales[[#This Row],[discount_pct]]))</f>
        <v>46500</v>
      </c>
      <c r="S228" s="29">
        <f>Sales[[#This Row],[revenue]]-(Sales[[#This Row],[quantity]]*Sales[[#This Row],[unit_cost_ngn]])</f>
        <v>16800</v>
      </c>
      <c r="T228" s="41" t="str">
        <f>TEXT(Sales[order_date], "yyyy-mm")</f>
        <v>2025-04</v>
      </c>
    </row>
    <row r="229" spans="1:20" ht="15" customHeight="1" x14ac:dyDescent="0.25">
      <c r="A229" s="10" t="s">
        <v>247</v>
      </c>
      <c r="B229" s="11">
        <v>45761</v>
      </c>
      <c r="C229" s="10" t="s">
        <v>32</v>
      </c>
      <c r="D229" s="10" t="s">
        <v>83</v>
      </c>
      <c r="E229" s="10" t="s">
        <v>45</v>
      </c>
      <c r="F229" s="10" t="s">
        <v>35</v>
      </c>
      <c r="G229" s="10" t="s">
        <v>36</v>
      </c>
      <c r="H229" s="10">
        <v>5</v>
      </c>
      <c r="I229" s="10">
        <v>18500</v>
      </c>
      <c r="J229" s="10">
        <v>11800</v>
      </c>
      <c r="K229" s="12">
        <v>0</v>
      </c>
      <c r="L229" s="10">
        <v>5</v>
      </c>
      <c r="M229" s="28" t="s">
        <v>248</v>
      </c>
      <c r="N229" s="29">
        <f>_xlfn.IFNA(VLOOKUP(Sales[customer_id],Cust[],11,FALSE),"Unknown")</f>
        <v>500000</v>
      </c>
      <c r="O229" s="29" t="str">
        <f>_xlfn.IFNA(VLOOKUP(Sales[customer_id], Cust[], 7,FALSE),"Unknown customer")</f>
        <v>Lagos</v>
      </c>
      <c r="P229" s="29" t="str">
        <f>_xlfn.IFNA(VLOOKUP(Sales[[#This Row],[customer_id]],Cust[],4, FALSE),"Unknown customer")</f>
        <v>Zainab Sanni</v>
      </c>
      <c r="Q229" s="29" t="str">
        <f>_xlfn.IFNA(VLOOKUP(Sales[[#This Row],[customer_id]], Cust[], 10, FALSE), "Unknown customer")</f>
        <v>Retail</v>
      </c>
      <c r="R229" s="29">
        <f>SUM(Sales[quantity]*Sales[[#This Row],[unit_price_ngn]]*(1-Sales[[#This Row],[discount_pct]]))</f>
        <v>92500</v>
      </c>
      <c r="S229" s="29">
        <f>Sales[[#This Row],[revenue]]-(Sales[[#This Row],[quantity]]*Sales[[#This Row],[unit_cost_ngn]])</f>
        <v>33500</v>
      </c>
      <c r="T229" s="41" t="str">
        <f>TEXT(Sales[order_date], "yyyy-mm")</f>
        <v>2025-04</v>
      </c>
    </row>
    <row r="230" spans="1:20" ht="15" customHeight="1" x14ac:dyDescent="0.25">
      <c r="A230" s="10" t="s">
        <v>249</v>
      </c>
      <c r="B230" s="11">
        <v>45761</v>
      </c>
      <c r="C230" s="10" t="s">
        <v>32</v>
      </c>
      <c r="D230" s="10" t="s">
        <v>83</v>
      </c>
      <c r="E230" s="10" t="s">
        <v>56</v>
      </c>
      <c r="F230" s="10" t="s">
        <v>101</v>
      </c>
      <c r="G230" s="10" t="s">
        <v>61</v>
      </c>
      <c r="H230" s="10">
        <v>2</v>
      </c>
      <c r="I230" s="10">
        <v>28000</v>
      </c>
      <c r="J230" s="10">
        <v>18500</v>
      </c>
      <c r="K230" s="12">
        <v>0</v>
      </c>
      <c r="L230" s="10">
        <v>4</v>
      </c>
      <c r="M230" s="28" t="s">
        <v>79</v>
      </c>
      <c r="N230" s="29">
        <f>_xlfn.IFNA(VLOOKUP(Sales[customer_id],Cust[],11,FALSE),"Unknown")</f>
        <v>500000</v>
      </c>
      <c r="O230" s="29" t="str">
        <f>_xlfn.IFNA(VLOOKUP(Sales[customer_id], Cust[], 7,FALSE),"Unknown customer")</f>
        <v>Lagos</v>
      </c>
      <c r="P230" s="29" t="str">
        <f>_xlfn.IFNA(VLOOKUP(Sales[[#This Row],[customer_id]],Cust[],4, FALSE),"Unknown customer")</f>
        <v>Ibrahim Ogunleye</v>
      </c>
      <c r="Q230" s="29" t="str">
        <f>_xlfn.IFNA(VLOOKUP(Sales[[#This Row],[customer_id]], Cust[], 10, FALSE), "Unknown customer")</f>
        <v>Retail</v>
      </c>
      <c r="R230" s="29">
        <f>SUM(Sales[quantity]*Sales[[#This Row],[unit_price_ngn]]*(1-Sales[[#This Row],[discount_pct]]))</f>
        <v>56000</v>
      </c>
      <c r="S230" s="29">
        <f>Sales[[#This Row],[revenue]]-(Sales[[#This Row],[quantity]]*Sales[[#This Row],[unit_cost_ngn]])</f>
        <v>19000</v>
      </c>
      <c r="T230" s="41" t="str">
        <f>TEXT(Sales[order_date], "yyyy-mm")</f>
        <v>2025-04</v>
      </c>
    </row>
    <row r="231" spans="1:20" ht="15" customHeight="1" x14ac:dyDescent="0.25">
      <c r="A231" s="10" t="s">
        <v>250</v>
      </c>
      <c r="B231" s="11">
        <v>45764</v>
      </c>
      <c r="C231" s="10" t="s">
        <v>32</v>
      </c>
      <c r="D231" s="10" t="s">
        <v>33</v>
      </c>
      <c r="E231" s="10" t="s">
        <v>75</v>
      </c>
      <c r="F231" s="10" t="s">
        <v>46</v>
      </c>
      <c r="G231" s="10" t="s">
        <v>47</v>
      </c>
      <c r="H231" s="10">
        <v>1</v>
      </c>
      <c r="I231" s="10">
        <v>9800</v>
      </c>
      <c r="J231" s="10">
        <v>7600</v>
      </c>
      <c r="K231" s="12">
        <v>0</v>
      </c>
      <c r="L231" s="10">
        <v>3</v>
      </c>
      <c r="M231" s="28" t="s">
        <v>251</v>
      </c>
      <c r="N231" s="29">
        <f>_xlfn.IFNA(VLOOKUP(Sales[customer_id],Cust[],11,FALSE),"Unknown")</f>
        <v>250000</v>
      </c>
      <c r="O231" s="29" t="str">
        <f>_xlfn.IFNA(VLOOKUP(Sales[customer_id], Cust[], 7,FALSE),"Unknown customer")</f>
        <v>Lagos</v>
      </c>
      <c r="P231" s="29" t="str">
        <f>_xlfn.IFNA(VLOOKUP(Sales[[#This Row],[customer_id]],Cust[],4, FALSE),"Unknown customer")</f>
        <v>Kelechi Adeyemi</v>
      </c>
      <c r="Q231" s="29" t="str">
        <f>_xlfn.IFNA(VLOOKUP(Sales[[#This Row],[customer_id]], Cust[], 10, FALSE), "Unknown customer")</f>
        <v>Retail</v>
      </c>
      <c r="R231" s="29">
        <f>SUM(Sales[quantity]*Sales[[#This Row],[unit_price_ngn]]*(1-Sales[[#This Row],[discount_pct]]))</f>
        <v>9800</v>
      </c>
      <c r="S231" s="29">
        <f>Sales[[#This Row],[revenue]]-(Sales[[#This Row],[quantity]]*Sales[[#This Row],[unit_cost_ngn]])</f>
        <v>2200</v>
      </c>
      <c r="T231" s="41" t="str">
        <f>TEXT(Sales[order_date], "yyyy-mm")</f>
        <v>2025-04</v>
      </c>
    </row>
    <row r="232" spans="1:20" ht="15" customHeight="1" x14ac:dyDescent="0.25">
      <c r="A232" s="10" t="s">
        <v>252</v>
      </c>
      <c r="B232" s="11">
        <v>45764</v>
      </c>
      <c r="C232" s="10" t="s">
        <v>32</v>
      </c>
      <c r="D232" s="10" t="s">
        <v>33</v>
      </c>
      <c r="E232" s="10" t="s">
        <v>56</v>
      </c>
      <c r="F232" s="10" t="s">
        <v>46</v>
      </c>
      <c r="G232" s="10" t="s">
        <v>47</v>
      </c>
      <c r="H232" s="10">
        <v>3</v>
      </c>
      <c r="I232" s="10">
        <v>9800</v>
      </c>
      <c r="J232" s="10">
        <v>7600</v>
      </c>
      <c r="K232" s="12">
        <v>0</v>
      </c>
      <c r="L232" s="10">
        <v>2</v>
      </c>
      <c r="M232" s="28" t="s">
        <v>253</v>
      </c>
      <c r="N232" s="29">
        <f>_xlfn.IFNA(VLOOKUP(Sales[customer_id],Cust[],11,FALSE),"Unknown")</f>
        <v>250000</v>
      </c>
      <c r="O232" s="29" t="str">
        <f>_xlfn.IFNA(VLOOKUP(Sales[customer_id], Cust[], 7,FALSE),"Unknown customer")</f>
        <v>Lagos</v>
      </c>
      <c r="P232" s="29" t="str">
        <f>_xlfn.IFNA(VLOOKUP(Sales[[#This Row],[customer_id]],Cust[],4, FALSE),"Unknown customer")</f>
        <v>Amaka Bello</v>
      </c>
      <c r="Q232" s="29" t="str">
        <f>_xlfn.IFNA(VLOOKUP(Sales[[#This Row],[customer_id]], Cust[], 10, FALSE), "Unknown customer")</f>
        <v>Wholesale</v>
      </c>
      <c r="R232" s="29">
        <f>SUM(Sales[quantity]*Sales[[#This Row],[unit_price_ngn]]*(1-Sales[[#This Row],[discount_pct]]))</f>
        <v>29400</v>
      </c>
      <c r="S232" s="29">
        <f>Sales[[#This Row],[revenue]]-(Sales[[#This Row],[quantity]]*Sales[[#This Row],[unit_cost_ngn]])</f>
        <v>6600</v>
      </c>
      <c r="T232" s="41" t="str">
        <f>TEXT(Sales[order_date], "yyyy-mm")</f>
        <v>2025-04</v>
      </c>
    </row>
    <row r="233" spans="1:20" ht="15" customHeight="1" x14ac:dyDescent="0.25">
      <c r="A233" s="10" t="s">
        <v>255</v>
      </c>
      <c r="B233" s="11">
        <v>45765</v>
      </c>
      <c r="C233" s="10" t="s">
        <v>32</v>
      </c>
      <c r="D233" s="10" t="s">
        <v>83</v>
      </c>
      <c r="E233" s="10" t="s">
        <v>34</v>
      </c>
      <c r="F233" s="10" t="s">
        <v>65</v>
      </c>
      <c r="G233" s="10" t="s">
        <v>66</v>
      </c>
      <c r="H233" s="10">
        <v>1</v>
      </c>
      <c r="I233" s="10">
        <v>24000</v>
      </c>
      <c r="J233" s="10">
        <v>14500</v>
      </c>
      <c r="K233" s="12">
        <v>0</v>
      </c>
      <c r="L233" s="10">
        <v>1</v>
      </c>
      <c r="M233" s="28" t="s">
        <v>256</v>
      </c>
      <c r="N233" s="29">
        <f>_xlfn.IFNA(VLOOKUP(Sales[customer_id],Cust[],11,FALSE),"Unknown")</f>
        <v>150000</v>
      </c>
      <c r="O233" s="29" t="str">
        <f>_xlfn.IFNA(VLOOKUP(Sales[customer_id], Cust[], 7,FALSE),"Unknown customer")</f>
        <v>Lagos</v>
      </c>
      <c r="P233" s="29" t="str">
        <f>_xlfn.IFNA(VLOOKUP(Sales[[#This Row],[customer_id]],Cust[],4, FALSE),"Unknown customer")</f>
        <v>Emeka Balogun</v>
      </c>
      <c r="Q233" s="29" t="str">
        <f>_xlfn.IFNA(VLOOKUP(Sales[[#This Row],[customer_id]], Cust[], 10, FALSE), "Unknown customer")</f>
        <v>Wholesale</v>
      </c>
      <c r="R233" s="29">
        <f>SUM(Sales[quantity]*Sales[[#This Row],[unit_price_ngn]]*(1-Sales[[#This Row],[discount_pct]]))</f>
        <v>24000</v>
      </c>
      <c r="S233" s="29">
        <f>Sales[[#This Row],[revenue]]-(Sales[[#This Row],[quantity]]*Sales[[#This Row],[unit_cost_ngn]])</f>
        <v>9500</v>
      </c>
      <c r="T233" s="41" t="str">
        <f>TEXT(Sales[order_date], "yyyy-mm")</f>
        <v>2025-04</v>
      </c>
    </row>
    <row r="234" spans="1:20" ht="15" customHeight="1" x14ac:dyDescent="0.25">
      <c r="A234" s="10" t="s">
        <v>258</v>
      </c>
      <c r="B234" s="11">
        <v>45766</v>
      </c>
      <c r="C234" s="10" t="s">
        <v>32</v>
      </c>
      <c r="D234" s="10" t="s">
        <v>33</v>
      </c>
      <c r="E234" s="10" t="s">
        <v>75</v>
      </c>
      <c r="F234" s="10" t="s">
        <v>88</v>
      </c>
      <c r="G234" s="10" t="s">
        <v>89</v>
      </c>
      <c r="H234" s="10">
        <v>1</v>
      </c>
      <c r="I234" s="10">
        <v>6800</v>
      </c>
      <c r="J234" s="10">
        <v>3900</v>
      </c>
      <c r="K234" s="12">
        <v>0</v>
      </c>
      <c r="L234" s="10">
        <v>7</v>
      </c>
      <c r="M234" s="28" t="s">
        <v>233</v>
      </c>
      <c r="N234" s="29">
        <f>_xlfn.IFNA(VLOOKUP(Sales[customer_id],Cust[],11,FALSE),"Unknown")</f>
        <v>150000</v>
      </c>
      <c r="O234" s="29" t="str">
        <f>_xlfn.IFNA(VLOOKUP(Sales[customer_id], Cust[], 7,FALSE),"Unknown customer")</f>
        <v>Lagos</v>
      </c>
      <c r="P234" s="29" t="str">
        <f>_xlfn.IFNA(VLOOKUP(Sales[[#This Row],[customer_id]],Cust[],4, FALSE),"Unknown customer")</f>
        <v>Grace Yusuf</v>
      </c>
      <c r="Q234" s="29" t="str">
        <f>_xlfn.IFNA(VLOOKUP(Sales[[#This Row],[customer_id]], Cust[], 10, FALSE), "Unknown customer")</f>
        <v>Retail</v>
      </c>
      <c r="R234" s="29">
        <f>SUM(Sales[quantity]*Sales[[#This Row],[unit_price_ngn]]*(1-Sales[[#This Row],[discount_pct]]))</f>
        <v>6800</v>
      </c>
      <c r="S234" s="29">
        <f>Sales[[#This Row],[revenue]]-(Sales[[#This Row],[quantity]]*Sales[[#This Row],[unit_cost_ngn]])</f>
        <v>2900</v>
      </c>
      <c r="T234" s="41" t="str">
        <f>TEXT(Sales[order_date], "yyyy-mm")</f>
        <v>2025-04</v>
      </c>
    </row>
    <row r="235" spans="1:20" ht="15" customHeight="1" x14ac:dyDescent="0.25">
      <c r="A235" s="10" t="s">
        <v>261</v>
      </c>
      <c r="B235" s="11">
        <v>45768</v>
      </c>
      <c r="C235" s="10" t="s">
        <v>32</v>
      </c>
      <c r="D235" s="10" t="s">
        <v>33</v>
      </c>
      <c r="E235" s="10" t="s">
        <v>75</v>
      </c>
      <c r="F235" s="10" t="s">
        <v>50</v>
      </c>
      <c r="G235" s="10" t="s">
        <v>51</v>
      </c>
      <c r="H235" s="10">
        <v>8</v>
      </c>
      <c r="I235" s="10">
        <v>41000</v>
      </c>
      <c r="J235" s="10">
        <v>25000</v>
      </c>
      <c r="K235" s="12">
        <v>0</v>
      </c>
      <c r="L235" s="10">
        <v>2</v>
      </c>
      <c r="M235" s="28" t="s">
        <v>97</v>
      </c>
      <c r="N235" s="29">
        <f>_xlfn.IFNA(VLOOKUP(Sales[customer_id],Cust[],11,FALSE),"Unknown")</f>
        <v>150000</v>
      </c>
      <c r="O235" s="29" t="str">
        <f>_xlfn.IFNA(VLOOKUP(Sales[customer_id], Cust[], 7,FALSE),"Unknown customer")</f>
        <v>Lagos</v>
      </c>
      <c r="P235" s="29" t="str">
        <f>_xlfn.IFNA(VLOOKUP(Sales[[#This Row],[customer_id]],Cust[],4, FALSE),"Unknown customer")</f>
        <v>Ibrahim Peters</v>
      </c>
      <c r="Q235" s="29" t="str">
        <f>_xlfn.IFNA(VLOOKUP(Sales[[#This Row],[customer_id]], Cust[], 10, FALSE), "Unknown customer")</f>
        <v>Retail</v>
      </c>
      <c r="R235" s="29">
        <f>SUM(Sales[quantity]*Sales[[#This Row],[unit_price_ngn]]*(1-Sales[[#This Row],[discount_pct]]))</f>
        <v>328000</v>
      </c>
      <c r="S235" s="29">
        <f>Sales[[#This Row],[revenue]]-(Sales[[#This Row],[quantity]]*Sales[[#This Row],[unit_cost_ngn]])</f>
        <v>128000</v>
      </c>
      <c r="T235" s="41" t="str">
        <f>TEXT(Sales[order_date], "yyyy-mm")</f>
        <v>2025-04</v>
      </c>
    </row>
    <row r="236" spans="1:20" ht="15" customHeight="1" x14ac:dyDescent="0.25">
      <c r="A236" s="10" t="s">
        <v>269</v>
      </c>
      <c r="B236" s="11">
        <v>45771</v>
      </c>
      <c r="C236" s="10" t="s">
        <v>32</v>
      </c>
      <c r="D236" s="10" t="s">
        <v>83</v>
      </c>
      <c r="E236" s="10" t="s">
        <v>75</v>
      </c>
      <c r="F236" s="10" t="s">
        <v>72</v>
      </c>
      <c r="G236" s="10" t="s">
        <v>47</v>
      </c>
      <c r="H236" s="10">
        <v>1</v>
      </c>
      <c r="I236" s="10">
        <v>46000</v>
      </c>
      <c r="J236" s="10">
        <v>39000</v>
      </c>
      <c r="K236" s="12">
        <v>0</v>
      </c>
      <c r="L236" s="10">
        <v>1</v>
      </c>
      <c r="M236" s="28" t="s">
        <v>81</v>
      </c>
      <c r="N236" s="29">
        <f>_xlfn.IFNA(VLOOKUP(Sales[customer_id],Cust[],11,FALSE),"Unknown")</f>
        <v>100000</v>
      </c>
      <c r="O236" s="29" t="str">
        <f>_xlfn.IFNA(VLOOKUP(Sales[customer_id], Cust[], 7,FALSE),"Unknown customer")</f>
        <v>Lagos</v>
      </c>
      <c r="P236" s="29" t="str">
        <f>_xlfn.IFNA(VLOOKUP(Sales[[#This Row],[customer_id]],Cust[],4, FALSE),"Unknown customer")</f>
        <v>Jide Umeh</v>
      </c>
      <c r="Q236" s="29" t="str">
        <f>_xlfn.IFNA(VLOOKUP(Sales[[#This Row],[customer_id]], Cust[], 10, FALSE), "Unknown customer")</f>
        <v>Wholesale</v>
      </c>
      <c r="R236" s="29">
        <f>SUM(Sales[quantity]*Sales[[#This Row],[unit_price_ngn]]*(1-Sales[[#This Row],[discount_pct]]))</f>
        <v>46000</v>
      </c>
      <c r="S236" s="29">
        <f>Sales[[#This Row],[revenue]]-(Sales[[#This Row],[quantity]]*Sales[[#This Row],[unit_cost_ngn]])</f>
        <v>7000</v>
      </c>
      <c r="T236" s="41" t="str">
        <f>TEXT(Sales[order_date], "yyyy-mm")</f>
        <v>2025-04</v>
      </c>
    </row>
    <row r="237" spans="1:20" ht="15" customHeight="1" x14ac:dyDescent="0.25">
      <c r="A237" s="10" t="s">
        <v>271</v>
      </c>
      <c r="B237" s="11">
        <v>45776</v>
      </c>
      <c r="C237" s="10" t="s">
        <v>32</v>
      </c>
      <c r="D237" s="10" t="s">
        <v>83</v>
      </c>
      <c r="E237" s="10" t="s">
        <v>34</v>
      </c>
      <c r="F237" s="10" t="s">
        <v>101</v>
      </c>
      <c r="G237" s="10" t="s">
        <v>61</v>
      </c>
      <c r="H237" s="10">
        <v>3</v>
      </c>
      <c r="I237" s="10">
        <v>28000</v>
      </c>
      <c r="J237" s="10">
        <v>18500</v>
      </c>
      <c r="K237" s="12">
        <v>0.05</v>
      </c>
      <c r="L237" s="10">
        <v>7</v>
      </c>
      <c r="M237" s="28" t="s">
        <v>272</v>
      </c>
      <c r="N237" s="29">
        <f>_xlfn.IFNA(VLOOKUP(Sales[customer_id],Cust[],11,FALSE),"Unknown")</f>
        <v>50000</v>
      </c>
      <c r="O237" s="29" t="str">
        <f>_xlfn.IFNA(VLOOKUP(Sales[customer_id], Cust[], 7,FALSE),"Unknown customer")</f>
        <v>Lagos</v>
      </c>
      <c r="P237" s="29" t="str">
        <f>_xlfn.IFNA(VLOOKUP(Sales[[#This Row],[customer_id]],Cust[],4, FALSE),"Unknown customer")</f>
        <v>Efe Musa</v>
      </c>
      <c r="Q237" s="29" t="str">
        <f>_xlfn.IFNA(VLOOKUP(Sales[[#This Row],[customer_id]], Cust[], 10, FALSE), "Unknown customer")</f>
        <v>Retail</v>
      </c>
      <c r="R237" s="29">
        <f>SUM(Sales[quantity]*Sales[[#This Row],[unit_price_ngn]]*(1-Sales[[#This Row],[discount_pct]]))</f>
        <v>79800</v>
      </c>
      <c r="S237" s="29">
        <f>Sales[[#This Row],[revenue]]-(Sales[[#This Row],[quantity]]*Sales[[#This Row],[unit_cost_ngn]])</f>
        <v>24300</v>
      </c>
      <c r="T237" s="41" t="str">
        <f>TEXT(Sales[order_date], "yyyy-mm")</f>
        <v>2025-04</v>
      </c>
    </row>
    <row r="238" spans="1:20" ht="15" customHeight="1" x14ac:dyDescent="0.25">
      <c r="A238" s="10" t="s">
        <v>274</v>
      </c>
      <c r="B238" s="11">
        <v>45779</v>
      </c>
      <c r="C238" s="10" t="s">
        <v>32</v>
      </c>
      <c r="D238" s="10" t="s">
        <v>83</v>
      </c>
      <c r="E238" s="10" t="s">
        <v>34</v>
      </c>
      <c r="F238" s="10" t="s">
        <v>72</v>
      </c>
      <c r="G238" s="10" t="s">
        <v>47</v>
      </c>
      <c r="H238" s="10">
        <v>2</v>
      </c>
      <c r="I238" s="10">
        <v>46000</v>
      </c>
      <c r="J238" s="10">
        <v>39000</v>
      </c>
      <c r="K238" s="12">
        <v>0</v>
      </c>
      <c r="L238" s="10">
        <v>2</v>
      </c>
      <c r="M238" s="28" t="s">
        <v>275</v>
      </c>
      <c r="N238" s="29">
        <f>_xlfn.IFNA(VLOOKUP(Sales[customer_id],Cust[],11,FALSE),"Unknown")</f>
        <v>50000</v>
      </c>
      <c r="O238" s="29" t="str">
        <f>_xlfn.IFNA(VLOOKUP(Sales[customer_id], Cust[], 7,FALSE),"Unknown customer")</f>
        <v>Lagos</v>
      </c>
      <c r="P238" s="29" t="str">
        <f>_xlfn.IFNA(VLOOKUP(Sales[[#This Row],[customer_id]],Cust[],4, FALSE),"Unknown customer")</f>
        <v>Kelechi Kalu</v>
      </c>
      <c r="Q238" s="29" t="str">
        <f>_xlfn.IFNA(VLOOKUP(Sales[[#This Row],[customer_id]], Cust[], 10, FALSE), "Unknown customer")</f>
        <v>Retail</v>
      </c>
      <c r="R238" s="29">
        <f>SUM(Sales[quantity]*Sales[[#This Row],[unit_price_ngn]]*(1-Sales[[#This Row],[discount_pct]]))</f>
        <v>92000</v>
      </c>
      <c r="S238" s="29">
        <f>Sales[[#This Row],[revenue]]-(Sales[[#This Row],[quantity]]*Sales[[#This Row],[unit_cost_ngn]])</f>
        <v>14000</v>
      </c>
      <c r="T238" s="41" t="str">
        <f>TEXT(Sales[order_date], "yyyy-mm")</f>
        <v>2025-05</v>
      </c>
    </row>
    <row r="239" spans="1:20" ht="15" customHeight="1" x14ac:dyDescent="0.25">
      <c r="A239" s="10" t="s">
        <v>277</v>
      </c>
      <c r="B239" s="11">
        <v>45781</v>
      </c>
      <c r="C239" s="10" t="s">
        <v>32</v>
      </c>
      <c r="D239" s="10" t="s">
        <v>83</v>
      </c>
      <c r="E239" s="10" t="s">
        <v>34</v>
      </c>
      <c r="F239" s="10" t="s">
        <v>101</v>
      </c>
      <c r="G239" s="10" t="s">
        <v>61</v>
      </c>
      <c r="H239" s="10">
        <v>10</v>
      </c>
      <c r="I239" s="10">
        <v>28000</v>
      </c>
      <c r="J239" s="10">
        <v>18500</v>
      </c>
      <c r="K239" s="12">
        <v>0</v>
      </c>
      <c r="L239" s="10">
        <v>5</v>
      </c>
      <c r="M239" s="28" t="s">
        <v>278</v>
      </c>
      <c r="N239" s="29">
        <f>_xlfn.IFNA(VLOOKUP(Sales[customer_id],Cust[],11,FALSE),"Unknown")</f>
        <v>150000</v>
      </c>
      <c r="O239" s="29" t="str">
        <f>_xlfn.IFNA(VLOOKUP(Sales[customer_id], Cust[], 7,FALSE),"Unknown customer")</f>
        <v>Lagos</v>
      </c>
      <c r="P239" s="29" t="str">
        <f>_xlfn.IFNA(VLOOKUP(Sales[[#This Row],[customer_id]],Cust[],4, FALSE),"Unknown customer")</f>
        <v>Lanre Balogun</v>
      </c>
      <c r="Q239" s="29" t="str">
        <f>_xlfn.IFNA(VLOOKUP(Sales[[#This Row],[customer_id]], Cust[], 10, FALSE), "Unknown customer")</f>
        <v>Retail</v>
      </c>
      <c r="R239" s="29">
        <f>SUM(Sales[quantity]*Sales[[#This Row],[unit_price_ngn]]*(1-Sales[[#This Row],[discount_pct]]))</f>
        <v>280000</v>
      </c>
      <c r="S239" s="29">
        <f>Sales[[#This Row],[revenue]]-(Sales[[#This Row],[quantity]]*Sales[[#This Row],[unit_cost_ngn]])</f>
        <v>95000</v>
      </c>
      <c r="T239" s="41" t="str">
        <f>TEXT(Sales[order_date], "yyyy-mm")</f>
        <v>2025-05</v>
      </c>
    </row>
    <row r="240" spans="1:20" ht="15" customHeight="1" x14ac:dyDescent="0.25">
      <c r="A240" s="10" t="s">
        <v>281</v>
      </c>
      <c r="B240" s="11">
        <v>45781</v>
      </c>
      <c r="C240" s="10" t="s">
        <v>32</v>
      </c>
      <c r="D240" s="10" t="s">
        <v>33</v>
      </c>
      <c r="E240" s="10" t="s">
        <v>45</v>
      </c>
      <c r="F240" s="10" t="s">
        <v>88</v>
      </c>
      <c r="G240" s="10" t="s">
        <v>89</v>
      </c>
      <c r="H240" s="10">
        <v>10</v>
      </c>
      <c r="I240" s="10">
        <v>6800</v>
      </c>
      <c r="J240" s="10">
        <v>3900</v>
      </c>
      <c r="K240" s="12">
        <v>0</v>
      </c>
      <c r="L240" s="10">
        <v>3</v>
      </c>
      <c r="M240" s="28" t="s">
        <v>282</v>
      </c>
      <c r="N240" s="29">
        <f>_xlfn.IFNA(VLOOKUP(Sales[customer_id],Cust[],11,FALSE),"Unknown")</f>
        <v>250000</v>
      </c>
      <c r="O240" s="29" t="str">
        <f>_xlfn.IFNA(VLOOKUP(Sales[customer_id], Cust[], 7,FALSE),"Unknown customer")</f>
        <v>Lagos</v>
      </c>
      <c r="P240" s="29" t="str">
        <f>_xlfn.IFNA(VLOOKUP(Sales[[#This Row],[customer_id]],Cust[],4, FALSE),"Unknown customer")</f>
        <v>Yemi Musa</v>
      </c>
      <c r="Q240" s="29" t="str">
        <f>_xlfn.IFNA(VLOOKUP(Sales[[#This Row],[customer_id]], Cust[], 10, FALSE), "Unknown customer")</f>
        <v>Retail</v>
      </c>
      <c r="R240" s="29">
        <f>SUM(Sales[quantity]*Sales[[#This Row],[unit_price_ngn]]*(1-Sales[[#This Row],[discount_pct]]))</f>
        <v>68000</v>
      </c>
      <c r="S240" s="29">
        <f>Sales[[#This Row],[revenue]]-(Sales[[#This Row],[quantity]]*Sales[[#This Row],[unit_cost_ngn]])</f>
        <v>29000</v>
      </c>
      <c r="T240" s="41" t="str">
        <f>TEXT(Sales[order_date], "yyyy-mm")</f>
        <v>2025-05</v>
      </c>
    </row>
    <row r="241" spans="1:20" ht="15" customHeight="1" x14ac:dyDescent="0.25">
      <c r="A241" s="10" t="s">
        <v>283</v>
      </c>
      <c r="B241" s="11">
        <v>45781</v>
      </c>
      <c r="C241" s="10" t="s">
        <v>32</v>
      </c>
      <c r="D241" s="10" t="s">
        <v>33</v>
      </c>
      <c r="E241" s="10" t="s">
        <v>34</v>
      </c>
      <c r="F241" s="10" t="s">
        <v>35</v>
      </c>
      <c r="G241" s="10" t="s">
        <v>36</v>
      </c>
      <c r="H241" s="10">
        <v>5</v>
      </c>
      <c r="I241" s="10">
        <v>18500</v>
      </c>
      <c r="J241" s="10">
        <v>11800</v>
      </c>
      <c r="K241" s="12">
        <v>0.1</v>
      </c>
      <c r="L241" s="10">
        <v>3</v>
      </c>
      <c r="M241" s="28" t="s">
        <v>73</v>
      </c>
      <c r="N241" s="29">
        <f>_xlfn.IFNA(VLOOKUP(Sales[customer_id],Cust[],11,FALSE),"Unknown")</f>
        <v>250000</v>
      </c>
      <c r="O241" s="29" t="str">
        <f>_xlfn.IFNA(VLOOKUP(Sales[customer_id], Cust[], 7,FALSE),"Unknown customer")</f>
        <v>Lagos</v>
      </c>
      <c r="P241" s="29" t="str">
        <f>_xlfn.IFNA(VLOOKUP(Sales[[#This Row],[customer_id]],Cust[],4, FALSE),"Unknown customer")</f>
        <v>Blessing Obi</v>
      </c>
      <c r="Q241" s="29" t="str">
        <f>_xlfn.IFNA(VLOOKUP(Sales[[#This Row],[customer_id]], Cust[], 10, FALSE), "Unknown customer")</f>
        <v>Retail</v>
      </c>
      <c r="R241" s="29">
        <f>SUM(Sales[quantity]*Sales[[#This Row],[unit_price_ngn]]*(1-Sales[[#This Row],[discount_pct]]))</f>
        <v>83250</v>
      </c>
      <c r="S241" s="29">
        <f>Sales[[#This Row],[revenue]]-(Sales[[#This Row],[quantity]]*Sales[[#This Row],[unit_cost_ngn]])</f>
        <v>24250</v>
      </c>
      <c r="T241" s="41" t="str">
        <f>TEXT(Sales[order_date], "yyyy-mm")</f>
        <v>2025-05</v>
      </c>
    </row>
    <row r="242" spans="1:20" ht="15" customHeight="1" x14ac:dyDescent="0.25">
      <c r="A242" s="10" t="s">
        <v>288</v>
      </c>
      <c r="B242" s="11">
        <v>45786</v>
      </c>
      <c r="C242" s="10" t="s">
        <v>32</v>
      </c>
      <c r="D242" s="10" t="s">
        <v>33</v>
      </c>
      <c r="E242" s="10" t="s">
        <v>45</v>
      </c>
      <c r="F242" s="10" t="s">
        <v>69</v>
      </c>
      <c r="G242" s="10" t="s">
        <v>66</v>
      </c>
      <c r="H242" s="10">
        <v>5</v>
      </c>
      <c r="I242" s="10">
        <v>32000</v>
      </c>
      <c r="J242" s="10">
        <v>21000</v>
      </c>
      <c r="K242" s="12">
        <v>0</v>
      </c>
      <c r="L242" s="10">
        <v>2</v>
      </c>
      <c r="M242" s="28" t="s">
        <v>253</v>
      </c>
      <c r="N242" s="29">
        <f>_xlfn.IFNA(VLOOKUP(Sales[customer_id],Cust[],11,FALSE),"Unknown")</f>
        <v>250000</v>
      </c>
      <c r="O242" s="29" t="str">
        <f>_xlfn.IFNA(VLOOKUP(Sales[customer_id], Cust[], 7,FALSE),"Unknown customer")</f>
        <v>Lagos</v>
      </c>
      <c r="P242" s="29" t="str">
        <f>_xlfn.IFNA(VLOOKUP(Sales[[#This Row],[customer_id]],Cust[],4, FALSE),"Unknown customer")</f>
        <v>Amaka Bello</v>
      </c>
      <c r="Q242" s="29" t="str">
        <f>_xlfn.IFNA(VLOOKUP(Sales[[#This Row],[customer_id]], Cust[], 10, FALSE), "Unknown customer")</f>
        <v>Wholesale</v>
      </c>
      <c r="R242" s="29">
        <f>SUM(Sales[quantity]*Sales[[#This Row],[unit_price_ngn]]*(1-Sales[[#This Row],[discount_pct]]))</f>
        <v>160000</v>
      </c>
      <c r="S242" s="29">
        <f>Sales[[#This Row],[revenue]]-(Sales[[#This Row],[quantity]]*Sales[[#This Row],[unit_cost_ngn]])</f>
        <v>55000</v>
      </c>
      <c r="T242" s="41" t="str">
        <f>TEXT(Sales[order_date], "yyyy-mm")</f>
        <v>2025-05</v>
      </c>
    </row>
    <row r="243" spans="1:20" ht="15" customHeight="1" x14ac:dyDescent="0.25">
      <c r="A243" s="10" t="s">
        <v>290</v>
      </c>
      <c r="B243" s="11">
        <v>45787</v>
      </c>
      <c r="C243" s="10" t="s">
        <v>32</v>
      </c>
      <c r="D243" s="10" t="s">
        <v>83</v>
      </c>
      <c r="E243" s="10" t="s">
        <v>34</v>
      </c>
      <c r="F243" s="10" t="s">
        <v>35</v>
      </c>
      <c r="G243" s="10" t="s">
        <v>36</v>
      </c>
      <c r="H243" s="10">
        <v>1</v>
      </c>
      <c r="I243" s="10">
        <v>18500</v>
      </c>
      <c r="J243" s="10">
        <v>11800</v>
      </c>
      <c r="K243" s="12">
        <v>0</v>
      </c>
      <c r="L243" s="10">
        <v>5</v>
      </c>
      <c r="M243" s="28" t="s">
        <v>84</v>
      </c>
      <c r="N243" s="29">
        <f>_xlfn.IFNA(VLOOKUP(Sales[customer_id],Cust[],11,FALSE),"Unknown")</f>
        <v>150000</v>
      </c>
      <c r="O243" s="29" t="str">
        <f>_xlfn.IFNA(VLOOKUP(Sales[customer_id], Cust[], 7,FALSE),"Unknown customer")</f>
        <v>Lagos</v>
      </c>
      <c r="P243" s="29" t="str">
        <f>_xlfn.IFNA(VLOOKUP(Sales[[#This Row],[customer_id]],Cust[],4, FALSE),"Unknown customer")</f>
        <v>Aisha Ojo</v>
      </c>
      <c r="Q243" s="29" t="str">
        <f>_xlfn.IFNA(VLOOKUP(Sales[[#This Row],[customer_id]], Cust[], 10, FALSE), "Unknown customer")</f>
        <v>Retail</v>
      </c>
      <c r="R243" s="29">
        <f>SUM(Sales[quantity]*Sales[[#This Row],[unit_price_ngn]]*(1-Sales[[#This Row],[discount_pct]]))</f>
        <v>18500</v>
      </c>
      <c r="S243" s="29">
        <f>Sales[[#This Row],[revenue]]-(Sales[[#This Row],[quantity]]*Sales[[#This Row],[unit_cost_ngn]])</f>
        <v>6700</v>
      </c>
      <c r="T243" s="41" t="str">
        <f>TEXT(Sales[order_date], "yyyy-mm")</f>
        <v>2025-05</v>
      </c>
    </row>
    <row r="244" spans="1:20" ht="15" customHeight="1" x14ac:dyDescent="0.25">
      <c r="A244" s="10" t="s">
        <v>292</v>
      </c>
      <c r="B244" s="11">
        <v>45789</v>
      </c>
      <c r="C244" s="10" t="s">
        <v>32</v>
      </c>
      <c r="D244" s="10" t="s">
        <v>83</v>
      </c>
      <c r="E244" s="10" t="s">
        <v>45</v>
      </c>
      <c r="F244" s="10" t="s">
        <v>72</v>
      </c>
      <c r="G244" s="10" t="s">
        <v>47</v>
      </c>
      <c r="H244" s="10">
        <v>3</v>
      </c>
      <c r="I244" s="10">
        <v>46000</v>
      </c>
      <c r="J244" s="10">
        <v>39000</v>
      </c>
      <c r="K244" s="12">
        <v>0</v>
      </c>
      <c r="L244" s="10">
        <v>1</v>
      </c>
      <c r="M244" s="28" t="s">
        <v>293</v>
      </c>
      <c r="N244" s="29">
        <f>_xlfn.IFNA(VLOOKUP(Sales[customer_id],Cust[],11,FALSE),"Unknown")</f>
        <v>150000</v>
      </c>
      <c r="O244" s="29" t="str">
        <f>_xlfn.IFNA(VLOOKUP(Sales[customer_id], Cust[], 7,FALSE),"Unknown customer")</f>
        <v>Lagos</v>
      </c>
      <c r="P244" s="29" t="str">
        <f>_xlfn.IFNA(VLOOKUP(Sales[[#This Row],[customer_id]],Cust[],4, FALSE),"Unknown customer")</f>
        <v>Fatima Peters</v>
      </c>
      <c r="Q244" s="29" t="str">
        <f>_xlfn.IFNA(VLOOKUP(Sales[[#This Row],[customer_id]], Cust[], 10, FALSE), "Unknown customer")</f>
        <v>Wholesale</v>
      </c>
      <c r="R244" s="29">
        <f>SUM(Sales[quantity]*Sales[[#This Row],[unit_price_ngn]]*(1-Sales[[#This Row],[discount_pct]]))</f>
        <v>138000</v>
      </c>
      <c r="S244" s="29">
        <f>Sales[[#This Row],[revenue]]-(Sales[[#This Row],[quantity]]*Sales[[#This Row],[unit_cost_ngn]])</f>
        <v>21000</v>
      </c>
      <c r="T244" s="41" t="str">
        <f>TEXT(Sales[order_date], "yyyy-mm")</f>
        <v>2025-05</v>
      </c>
    </row>
    <row r="245" spans="1:20" ht="15" customHeight="1" x14ac:dyDescent="0.25">
      <c r="A245" s="10" t="s">
        <v>296</v>
      </c>
      <c r="B245" s="11">
        <v>45793</v>
      </c>
      <c r="C245" s="10" t="s">
        <v>32</v>
      </c>
      <c r="D245" s="10" t="s">
        <v>33</v>
      </c>
      <c r="E245" s="10" t="s">
        <v>34</v>
      </c>
      <c r="F245" s="10" t="s">
        <v>72</v>
      </c>
      <c r="G245" s="10" t="s">
        <v>47</v>
      </c>
      <c r="H245" s="10">
        <v>1</v>
      </c>
      <c r="I245" s="10">
        <v>46000</v>
      </c>
      <c r="J245" s="10">
        <v>39000</v>
      </c>
      <c r="K245" s="12">
        <v>0</v>
      </c>
      <c r="L245" s="10">
        <v>3</v>
      </c>
      <c r="M245" s="28" t="s">
        <v>297</v>
      </c>
      <c r="N245" s="29">
        <f>_xlfn.IFNA(VLOOKUP(Sales[customer_id],Cust[],11,FALSE),"Unknown")</f>
        <v>150000</v>
      </c>
      <c r="O245" s="29" t="str">
        <f>_xlfn.IFNA(VLOOKUP(Sales[customer_id], Cust[], 7,FALSE),"Unknown customer")</f>
        <v>Lagos</v>
      </c>
      <c r="P245" s="29" t="str">
        <f>_xlfn.IFNA(VLOOKUP(Sales[[#This Row],[customer_id]],Cust[],4, FALSE),"Unknown customer")</f>
        <v>Ijeoma Adeleke</v>
      </c>
      <c r="Q245" s="29" t="str">
        <f>_xlfn.IFNA(VLOOKUP(Sales[[#This Row],[customer_id]], Cust[], 10, FALSE), "Unknown customer")</f>
        <v>Corporate</v>
      </c>
      <c r="R245" s="29">
        <f>SUM(Sales[quantity]*Sales[[#This Row],[unit_price_ngn]]*(1-Sales[[#This Row],[discount_pct]]))</f>
        <v>46000</v>
      </c>
      <c r="S245" s="29">
        <f>Sales[[#This Row],[revenue]]-(Sales[[#This Row],[quantity]]*Sales[[#This Row],[unit_cost_ngn]])</f>
        <v>7000</v>
      </c>
      <c r="T245" s="41" t="str">
        <f>TEXT(Sales[order_date], "yyyy-mm")</f>
        <v>2025-05</v>
      </c>
    </row>
    <row r="246" spans="1:20" ht="15" customHeight="1" x14ac:dyDescent="0.25">
      <c r="A246" s="10" t="s">
        <v>299</v>
      </c>
      <c r="B246" s="11">
        <v>45794</v>
      </c>
      <c r="C246" s="10" t="s">
        <v>32</v>
      </c>
      <c r="D246" s="10" t="s">
        <v>33</v>
      </c>
      <c r="E246" s="10" t="s">
        <v>45</v>
      </c>
      <c r="F246" s="10" t="s">
        <v>57</v>
      </c>
      <c r="G246" s="10" t="s">
        <v>51</v>
      </c>
      <c r="H246" s="10">
        <v>8</v>
      </c>
      <c r="I246" s="10">
        <v>27500</v>
      </c>
      <c r="J246" s="10">
        <v>16500</v>
      </c>
      <c r="K246" s="12">
        <v>0</v>
      </c>
      <c r="L246" s="10">
        <v>4</v>
      </c>
      <c r="M246" s="28" t="s">
        <v>37</v>
      </c>
      <c r="N246" s="29">
        <f>_xlfn.IFNA(VLOOKUP(Sales[customer_id],Cust[],11,FALSE),"Unknown")</f>
        <v>150000</v>
      </c>
      <c r="O246" s="29" t="str">
        <f>_xlfn.IFNA(VLOOKUP(Sales[customer_id], Cust[], 7,FALSE),"Unknown customer")</f>
        <v>Lagos</v>
      </c>
      <c r="P246" s="29" t="str">
        <f>_xlfn.IFNA(VLOOKUP(Sales[[#This Row],[customer_id]],Cust[],4, FALSE),"Unknown customer")</f>
        <v>Blessing Yusuf</v>
      </c>
      <c r="Q246" s="29" t="str">
        <f>_xlfn.IFNA(VLOOKUP(Sales[[#This Row],[customer_id]], Cust[], 10, FALSE), "Unknown customer")</f>
        <v>Corporate</v>
      </c>
      <c r="R246" s="29">
        <f>SUM(Sales[quantity]*Sales[[#This Row],[unit_price_ngn]]*(1-Sales[[#This Row],[discount_pct]]))</f>
        <v>220000</v>
      </c>
      <c r="S246" s="29">
        <f>Sales[[#This Row],[revenue]]-(Sales[[#This Row],[quantity]]*Sales[[#This Row],[unit_cost_ngn]])</f>
        <v>88000</v>
      </c>
      <c r="T246" s="41" t="str">
        <f>TEXT(Sales[order_date], "yyyy-mm")</f>
        <v>2025-05</v>
      </c>
    </row>
    <row r="247" spans="1:20" ht="15" customHeight="1" x14ac:dyDescent="0.25">
      <c r="A247" s="10" t="s">
        <v>301</v>
      </c>
      <c r="B247" s="11">
        <v>45796</v>
      </c>
      <c r="C247" s="10" t="s">
        <v>32</v>
      </c>
      <c r="D247" s="10" t="s">
        <v>33</v>
      </c>
      <c r="E247" s="10" t="s">
        <v>45</v>
      </c>
      <c r="F247" s="10" t="s">
        <v>46</v>
      </c>
      <c r="G247" s="10" t="s">
        <v>47</v>
      </c>
      <c r="H247" s="10">
        <v>2</v>
      </c>
      <c r="I247" s="10">
        <v>9800</v>
      </c>
      <c r="J247" s="10">
        <v>7600</v>
      </c>
      <c r="K247" s="12">
        <v>0</v>
      </c>
      <c r="L247" s="10">
        <v>5</v>
      </c>
      <c r="M247" s="28" t="s">
        <v>302</v>
      </c>
      <c r="N247" s="29">
        <f>_xlfn.IFNA(VLOOKUP(Sales[customer_id],Cust[],11,FALSE),"Unknown")</f>
        <v>500000</v>
      </c>
      <c r="O247" s="29" t="str">
        <f>_xlfn.IFNA(VLOOKUP(Sales[customer_id], Cust[], 7,FALSE),"Unknown customer")</f>
        <v>Lagos</v>
      </c>
      <c r="P247" s="29" t="str">
        <f>_xlfn.IFNA(VLOOKUP(Sales[[#This Row],[customer_id]],Cust[],4, FALSE),"Unknown customer")</f>
        <v>Halima Adebayo</v>
      </c>
      <c r="Q247" s="29" t="str">
        <f>_xlfn.IFNA(VLOOKUP(Sales[[#This Row],[customer_id]], Cust[], 10, FALSE), "Unknown customer")</f>
        <v>Retail</v>
      </c>
      <c r="R247" s="29">
        <f>SUM(Sales[quantity]*Sales[[#This Row],[unit_price_ngn]]*(1-Sales[[#This Row],[discount_pct]]))</f>
        <v>19600</v>
      </c>
      <c r="S247" s="29">
        <f>Sales[[#This Row],[revenue]]-(Sales[[#This Row],[quantity]]*Sales[[#This Row],[unit_cost_ngn]])</f>
        <v>4400</v>
      </c>
      <c r="T247" s="41" t="str">
        <f>TEXT(Sales[order_date], "yyyy-mm")</f>
        <v>2025-05</v>
      </c>
    </row>
    <row r="248" spans="1:20" ht="15" customHeight="1" x14ac:dyDescent="0.25">
      <c r="A248" s="10" t="s">
        <v>306</v>
      </c>
      <c r="B248" s="11">
        <v>45800</v>
      </c>
      <c r="C248" s="10" t="s">
        <v>32</v>
      </c>
      <c r="D248" s="10" t="s">
        <v>33</v>
      </c>
      <c r="E248" s="10" t="s">
        <v>75</v>
      </c>
      <c r="F248" s="10" t="s">
        <v>72</v>
      </c>
      <c r="G248" s="10" t="s">
        <v>47</v>
      </c>
      <c r="H248" s="10">
        <v>5</v>
      </c>
      <c r="I248" s="10">
        <v>46000</v>
      </c>
      <c r="J248" s="10">
        <v>39000</v>
      </c>
      <c r="K248" s="12">
        <v>0</v>
      </c>
      <c r="L248" s="10">
        <v>1</v>
      </c>
      <c r="M248" s="28" t="s">
        <v>90</v>
      </c>
      <c r="N248" s="29">
        <f>_xlfn.IFNA(VLOOKUP(Sales[customer_id],Cust[],11,FALSE),"Unknown")</f>
        <v>500000</v>
      </c>
      <c r="O248" s="29" t="str">
        <f>_xlfn.IFNA(VLOOKUP(Sales[customer_id], Cust[], 7,FALSE),"Unknown customer")</f>
        <v>Lagos</v>
      </c>
      <c r="P248" s="29" t="str">
        <f>_xlfn.IFNA(VLOOKUP(Sales[[#This Row],[customer_id]],Cust[],4, FALSE),"Unknown customer")</f>
        <v>Obinna Kalu</v>
      </c>
      <c r="Q248" s="29" t="str">
        <f>_xlfn.IFNA(VLOOKUP(Sales[[#This Row],[customer_id]], Cust[], 10, FALSE), "Unknown customer")</f>
        <v>Wholesale</v>
      </c>
      <c r="R248" s="29">
        <f>SUM(Sales[quantity]*Sales[[#This Row],[unit_price_ngn]]*(1-Sales[[#This Row],[discount_pct]]))</f>
        <v>230000</v>
      </c>
      <c r="S248" s="29">
        <f>Sales[[#This Row],[revenue]]-(Sales[[#This Row],[quantity]]*Sales[[#This Row],[unit_cost_ngn]])</f>
        <v>35000</v>
      </c>
      <c r="T248" s="41" t="str">
        <f>TEXT(Sales[order_date], "yyyy-mm")</f>
        <v>2025-05</v>
      </c>
    </row>
    <row r="249" spans="1:20" ht="15" customHeight="1" x14ac:dyDescent="0.25">
      <c r="A249" s="10" t="s">
        <v>311</v>
      </c>
      <c r="B249" s="11">
        <v>45803</v>
      </c>
      <c r="C249" s="10" t="s">
        <v>32</v>
      </c>
      <c r="D249" s="10" t="s">
        <v>83</v>
      </c>
      <c r="E249" s="10" t="s">
        <v>45</v>
      </c>
      <c r="F249" s="10" t="s">
        <v>46</v>
      </c>
      <c r="G249" s="10" t="s">
        <v>47</v>
      </c>
      <c r="H249" s="10">
        <v>1</v>
      </c>
      <c r="I249" s="10">
        <v>9800</v>
      </c>
      <c r="J249" s="10">
        <v>7600</v>
      </c>
      <c r="K249" s="12">
        <v>0</v>
      </c>
      <c r="L249" s="10">
        <v>4</v>
      </c>
      <c r="M249" s="28" t="s">
        <v>312</v>
      </c>
      <c r="N249" s="29">
        <f>_xlfn.IFNA(VLOOKUP(Sales[customer_id],Cust[],11,FALSE),"Unknown")</f>
        <v>150000</v>
      </c>
      <c r="O249" s="29" t="str">
        <f>_xlfn.IFNA(VLOOKUP(Sales[customer_id], Cust[], 7,FALSE),"Unknown customer")</f>
        <v>Lagos</v>
      </c>
      <c r="P249" s="29" t="str">
        <f>_xlfn.IFNA(VLOOKUP(Sales[[#This Row],[customer_id]],Cust[],4, FALSE),"Unknown customer")</f>
        <v>Femi Nwachukwu</v>
      </c>
      <c r="Q249" s="29" t="str">
        <f>_xlfn.IFNA(VLOOKUP(Sales[[#This Row],[customer_id]], Cust[], 10, FALSE), "Unknown customer")</f>
        <v>Corporate</v>
      </c>
      <c r="R249" s="29">
        <f>SUM(Sales[quantity]*Sales[[#This Row],[unit_price_ngn]]*(1-Sales[[#This Row],[discount_pct]]))</f>
        <v>9800</v>
      </c>
      <c r="S249" s="29">
        <f>Sales[[#This Row],[revenue]]-(Sales[[#This Row],[quantity]]*Sales[[#This Row],[unit_cost_ngn]])</f>
        <v>2200</v>
      </c>
      <c r="T249" s="41" t="str">
        <f>TEXT(Sales[order_date], "yyyy-mm")</f>
        <v>2025-05</v>
      </c>
    </row>
    <row r="250" spans="1:20" ht="15" customHeight="1" x14ac:dyDescent="0.25">
      <c r="A250" s="10" t="s">
        <v>313</v>
      </c>
      <c r="B250" s="11">
        <v>45805</v>
      </c>
      <c r="C250" s="10" t="s">
        <v>32</v>
      </c>
      <c r="D250" s="10" t="s">
        <v>83</v>
      </c>
      <c r="E250" s="10" t="s">
        <v>34</v>
      </c>
      <c r="F250" s="10" t="s">
        <v>35</v>
      </c>
      <c r="G250" s="10" t="s">
        <v>36</v>
      </c>
      <c r="H250" s="10">
        <v>10</v>
      </c>
      <c r="I250" s="10">
        <v>18500</v>
      </c>
      <c r="J250" s="10">
        <v>11800</v>
      </c>
      <c r="K250" s="12">
        <v>0</v>
      </c>
      <c r="L250" s="10">
        <v>1</v>
      </c>
      <c r="M250" s="28" t="s">
        <v>293</v>
      </c>
      <c r="N250" s="29">
        <f>_xlfn.IFNA(VLOOKUP(Sales[customer_id],Cust[],11,FALSE),"Unknown")</f>
        <v>150000</v>
      </c>
      <c r="O250" s="29" t="str">
        <f>_xlfn.IFNA(VLOOKUP(Sales[customer_id], Cust[], 7,FALSE),"Unknown customer")</f>
        <v>Lagos</v>
      </c>
      <c r="P250" s="29" t="str">
        <f>_xlfn.IFNA(VLOOKUP(Sales[[#This Row],[customer_id]],Cust[],4, FALSE),"Unknown customer")</f>
        <v>Fatima Peters</v>
      </c>
      <c r="Q250" s="29" t="str">
        <f>_xlfn.IFNA(VLOOKUP(Sales[[#This Row],[customer_id]], Cust[], 10, FALSE), "Unknown customer")</f>
        <v>Wholesale</v>
      </c>
      <c r="R250" s="29">
        <f>SUM(Sales[quantity]*Sales[[#This Row],[unit_price_ngn]]*(1-Sales[[#This Row],[discount_pct]]))</f>
        <v>185000</v>
      </c>
      <c r="S250" s="29">
        <f>Sales[[#This Row],[revenue]]-(Sales[[#This Row],[quantity]]*Sales[[#This Row],[unit_cost_ngn]])</f>
        <v>67000</v>
      </c>
      <c r="T250" s="41" t="str">
        <f>TEXT(Sales[order_date], "yyyy-mm")</f>
        <v>2025-05</v>
      </c>
    </row>
    <row r="251" spans="1:20" ht="15" customHeight="1" x14ac:dyDescent="0.25">
      <c r="A251" s="10" t="s">
        <v>317</v>
      </c>
      <c r="B251" s="11">
        <v>45807</v>
      </c>
      <c r="C251" s="10" t="s">
        <v>32</v>
      </c>
      <c r="D251" s="10" t="s">
        <v>33</v>
      </c>
      <c r="E251" s="10" t="s">
        <v>45</v>
      </c>
      <c r="F251" s="10" t="s">
        <v>65</v>
      </c>
      <c r="G251" s="10" t="s">
        <v>66</v>
      </c>
      <c r="H251" s="10">
        <v>2</v>
      </c>
      <c r="I251" s="10">
        <v>24000</v>
      </c>
      <c r="J251" s="10">
        <v>14500</v>
      </c>
      <c r="K251" s="12">
        <v>0</v>
      </c>
      <c r="L251" s="10">
        <v>2</v>
      </c>
      <c r="M251" s="28" t="s">
        <v>113</v>
      </c>
      <c r="N251" s="29">
        <f>_xlfn.IFNA(VLOOKUP(Sales[customer_id],Cust[],11,FALSE),"Unknown")</f>
        <v>50000</v>
      </c>
      <c r="O251" s="29" t="str">
        <f>_xlfn.IFNA(VLOOKUP(Sales[customer_id], Cust[], 7,FALSE),"Unknown customer")</f>
        <v>Lagos</v>
      </c>
      <c r="P251" s="29" t="str">
        <f>_xlfn.IFNA(VLOOKUP(Sales[[#This Row],[customer_id]],Cust[],4, FALSE),"Unknown customer")</f>
        <v>Obinna Umeh</v>
      </c>
      <c r="Q251" s="29" t="str">
        <f>_xlfn.IFNA(VLOOKUP(Sales[[#This Row],[customer_id]], Cust[], 10, FALSE), "Unknown customer")</f>
        <v>Retail</v>
      </c>
      <c r="R251" s="29">
        <f>SUM(Sales[quantity]*Sales[[#This Row],[unit_price_ngn]]*(1-Sales[[#This Row],[discount_pct]]))</f>
        <v>48000</v>
      </c>
      <c r="S251" s="29">
        <f>Sales[[#This Row],[revenue]]-(Sales[[#This Row],[quantity]]*Sales[[#This Row],[unit_cost_ngn]])</f>
        <v>19000</v>
      </c>
      <c r="T251" s="41" t="str">
        <f>TEXT(Sales[order_date], "yyyy-mm")</f>
        <v>2025-05</v>
      </c>
    </row>
    <row r="252" spans="1:20" ht="15" customHeight="1" x14ac:dyDescent="0.25">
      <c r="A252" s="10" t="s">
        <v>323</v>
      </c>
      <c r="B252" s="11">
        <v>45809</v>
      </c>
      <c r="C252" s="10" t="s">
        <v>32</v>
      </c>
      <c r="D252" s="10" t="s">
        <v>83</v>
      </c>
      <c r="E252" s="10" t="s">
        <v>56</v>
      </c>
      <c r="F252" s="10" t="s">
        <v>60</v>
      </c>
      <c r="G252" s="10" t="s">
        <v>61</v>
      </c>
      <c r="H252" s="10">
        <v>5</v>
      </c>
      <c r="I252" s="10">
        <v>12000</v>
      </c>
      <c r="J252" s="10">
        <v>7200</v>
      </c>
      <c r="K252" s="12">
        <v>0</v>
      </c>
      <c r="L252" s="10">
        <v>3</v>
      </c>
      <c r="M252" s="28" t="s">
        <v>324</v>
      </c>
      <c r="N252" s="29">
        <f>_xlfn.IFNA(VLOOKUP(Sales[customer_id],Cust[],11,FALSE),"Unknown")</f>
        <v>50000</v>
      </c>
      <c r="O252" s="29" t="str">
        <f>_xlfn.IFNA(VLOOKUP(Sales[customer_id], Cust[], 7,FALSE),"Unknown customer")</f>
        <v>Lagos</v>
      </c>
      <c r="P252" s="29" t="str">
        <f>_xlfn.IFNA(VLOOKUP(Sales[[#This Row],[customer_id]],Cust[],4, FALSE),"Unknown customer")</f>
        <v>Efe Umeh</v>
      </c>
      <c r="Q252" s="29" t="str">
        <f>_xlfn.IFNA(VLOOKUP(Sales[[#This Row],[customer_id]], Cust[], 10, FALSE), "Unknown customer")</f>
        <v>Wholesale</v>
      </c>
      <c r="R252" s="29">
        <f>SUM(Sales[quantity]*Sales[[#This Row],[unit_price_ngn]]*(1-Sales[[#This Row],[discount_pct]]))</f>
        <v>60000</v>
      </c>
      <c r="S252" s="29">
        <f>Sales[[#This Row],[revenue]]-(Sales[[#This Row],[quantity]]*Sales[[#This Row],[unit_cost_ngn]])</f>
        <v>24000</v>
      </c>
      <c r="T252" s="41" t="str">
        <f>TEXT(Sales[order_date], "yyyy-mm")</f>
        <v>2025-06</v>
      </c>
    </row>
    <row r="253" spans="1:20" ht="15" customHeight="1" x14ac:dyDescent="0.25">
      <c r="A253" s="10" t="s">
        <v>327</v>
      </c>
      <c r="B253" s="11">
        <v>45812</v>
      </c>
      <c r="C253" s="10" t="s">
        <v>32</v>
      </c>
      <c r="D253" s="10" t="s">
        <v>83</v>
      </c>
      <c r="E253" s="10" t="s">
        <v>75</v>
      </c>
      <c r="F253" s="10" t="s">
        <v>65</v>
      </c>
      <c r="G253" s="10" t="s">
        <v>66</v>
      </c>
      <c r="H253" s="10">
        <v>3</v>
      </c>
      <c r="I253" s="10">
        <v>24000</v>
      </c>
      <c r="J253" s="10">
        <v>14500</v>
      </c>
      <c r="K253" s="12">
        <v>0</v>
      </c>
      <c r="L253" s="10">
        <v>2</v>
      </c>
      <c r="M253" s="28" t="s">
        <v>282</v>
      </c>
      <c r="N253" s="29">
        <f>_xlfn.IFNA(VLOOKUP(Sales[customer_id],Cust[],11,FALSE),"Unknown")</f>
        <v>250000</v>
      </c>
      <c r="O253" s="29" t="str">
        <f>_xlfn.IFNA(VLOOKUP(Sales[customer_id], Cust[], 7,FALSE),"Unknown customer")</f>
        <v>Lagos</v>
      </c>
      <c r="P253" s="29" t="str">
        <f>_xlfn.IFNA(VLOOKUP(Sales[[#This Row],[customer_id]],Cust[],4, FALSE),"Unknown customer")</f>
        <v>Yemi Musa</v>
      </c>
      <c r="Q253" s="29" t="str">
        <f>_xlfn.IFNA(VLOOKUP(Sales[[#This Row],[customer_id]], Cust[], 10, FALSE), "Unknown customer")</f>
        <v>Retail</v>
      </c>
      <c r="R253" s="29">
        <f>SUM(Sales[quantity]*Sales[[#This Row],[unit_price_ngn]]*(1-Sales[[#This Row],[discount_pct]]))</f>
        <v>72000</v>
      </c>
      <c r="S253" s="29">
        <f>Sales[[#This Row],[revenue]]-(Sales[[#This Row],[quantity]]*Sales[[#This Row],[unit_cost_ngn]])</f>
        <v>28500</v>
      </c>
      <c r="T253" s="41" t="str">
        <f>TEXT(Sales[order_date], "yyyy-mm")</f>
        <v>2025-06</v>
      </c>
    </row>
    <row r="254" spans="1:20" ht="15" customHeight="1" x14ac:dyDescent="0.25">
      <c r="A254" s="10" t="s">
        <v>333</v>
      </c>
      <c r="B254" s="11">
        <v>45816</v>
      </c>
      <c r="C254" s="10" t="s">
        <v>32</v>
      </c>
      <c r="D254" s="10" t="s">
        <v>83</v>
      </c>
      <c r="E254" s="10" t="s">
        <v>75</v>
      </c>
      <c r="F254" s="10" t="s">
        <v>88</v>
      </c>
      <c r="G254" s="10" t="s">
        <v>89</v>
      </c>
      <c r="H254" s="10">
        <v>5</v>
      </c>
      <c r="I254" s="10">
        <v>6800</v>
      </c>
      <c r="J254" s="10">
        <v>3900</v>
      </c>
      <c r="K254" s="12">
        <v>0</v>
      </c>
      <c r="L254" s="10">
        <v>3</v>
      </c>
      <c r="M254" s="28" t="s">
        <v>334</v>
      </c>
      <c r="N254" s="29">
        <f>_xlfn.IFNA(VLOOKUP(Sales[customer_id],Cust[],11,FALSE),"Unknown")</f>
        <v>100000</v>
      </c>
      <c r="O254" s="29" t="str">
        <f>_xlfn.IFNA(VLOOKUP(Sales[customer_id], Cust[], 7,FALSE),"Unknown customer")</f>
        <v>Lagos</v>
      </c>
      <c r="P254" s="29" t="str">
        <f>_xlfn.IFNA(VLOOKUP(Sales[[#This Row],[customer_id]],Cust[],4, FALSE),"Unknown customer")</f>
        <v>Yemi Sanni</v>
      </c>
      <c r="Q254" s="29" t="str">
        <f>_xlfn.IFNA(VLOOKUP(Sales[[#This Row],[customer_id]], Cust[], 10, FALSE), "Unknown customer")</f>
        <v>Wholesale</v>
      </c>
      <c r="R254" s="29">
        <f>SUM(Sales[quantity]*Sales[[#This Row],[unit_price_ngn]]*(1-Sales[[#This Row],[discount_pct]]))</f>
        <v>34000</v>
      </c>
      <c r="S254" s="29">
        <f>Sales[[#This Row],[revenue]]-(Sales[[#This Row],[quantity]]*Sales[[#This Row],[unit_cost_ngn]])</f>
        <v>14500</v>
      </c>
      <c r="T254" s="41" t="str">
        <f>TEXT(Sales[order_date], "yyyy-mm")</f>
        <v>2025-06</v>
      </c>
    </row>
    <row r="255" spans="1:20" ht="15" customHeight="1" x14ac:dyDescent="0.25">
      <c r="A255" s="10" t="s">
        <v>338</v>
      </c>
      <c r="B255" s="11">
        <v>45820</v>
      </c>
      <c r="C255" s="10" t="s">
        <v>32</v>
      </c>
      <c r="D255" s="10" t="s">
        <v>83</v>
      </c>
      <c r="E255" s="10" t="s">
        <v>45</v>
      </c>
      <c r="F255" s="10" t="s">
        <v>35</v>
      </c>
      <c r="G255" s="10" t="s">
        <v>36</v>
      </c>
      <c r="H255" s="10">
        <v>3</v>
      </c>
      <c r="I255" s="10">
        <v>18500</v>
      </c>
      <c r="J255" s="10">
        <v>11800</v>
      </c>
      <c r="K255" s="12">
        <v>0</v>
      </c>
      <c r="L255" s="10">
        <v>2</v>
      </c>
      <c r="M255" s="28" t="s">
        <v>174</v>
      </c>
      <c r="N255" s="29">
        <f>_xlfn.IFNA(VLOOKUP(Sales[customer_id],Cust[],11,FALSE),"Unknown")</f>
        <v>500000</v>
      </c>
      <c r="O255" s="29" t="str">
        <f>_xlfn.IFNA(VLOOKUP(Sales[customer_id], Cust[], 7,FALSE),"Unknown customer")</f>
        <v>Lagos</v>
      </c>
      <c r="P255" s="29" t="str">
        <f>_xlfn.IFNA(VLOOKUP(Sales[[#This Row],[customer_id]],Cust[],4, FALSE),"Unknown customer")</f>
        <v>Yemi Ogunleye</v>
      </c>
      <c r="Q255" s="29" t="str">
        <f>_xlfn.IFNA(VLOOKUP(Sales[[#This Row],[customer_id]], Cust[], 10, FALSE), "Unknown customer")</f>
        <v>Retail</v>
      </c>
      <c r="R255" s="29">
        <f>SUM(Sales[quantity]*Sales[[#This Row],[unit_price_ngn]]*(1-Sales[[#This Row],[discount_pct]]))</f>
        <v>55500</v>
      </c>
      <c r="S255" s="29">
        <f>Sales[[#This Row],[revenue]]-(Sales[[#This Row],[quantity]]*Sales[[#This Row],[unit_cost_ngn]])</f>
        <v>20100</v>
      </c>
      <c r="T255" s="41" t="str">
        <f>TEXT(Sales[order_date], "yyyy-mm")</f>
        <v>2025-06</v>
      </c>
    </row>
    <row r="256" spans="1:20" ht="15" customHeight="1" x14ac:dyDescent="0.25">
      <c r="A256" s="10" t="s">
        <v>339</v>
      </c>
      <c r="B256" s="11">
        <v>45820</v>
      </c>
      <c r="C256" s="10" t="s">
        <v>32</v>
      </c>
      <c r="D256" s="10" t="s">
        <v>83</v>
      </c>
      <c r="E256" s="10" t="s">
        <v>56</v>
      </c>
      <c r="F256" s="10" t="s">
        <v>65</v>
      </c>
      <c r="G256" s="10" t="s">
        <v>66</v>
      </c>
      <c r="H256" s="10">
        <v>4</v>
      </c>
      <c r="I256" s="10">
        <v>24000</v>
      </c>
      <c r="J256" s="10">
        <v>14500</v>
      </c>
      <c r="K256" s="12">
        <v>0</v>
      </c>
      <c r="L256" s="10">
        <v>4</v>
      </c>
      <c r="M256" s="28" t="s">
        <v>312</v>
      </c>
      <c r="N256" s="29">
        <f>_xlfn.IFNA(VLOOKUP(Sales[customer_id],Cust[],11,FALSE),"Unknown")</f>
        <v>150000</v>
      </c>
      <c r="O256" s="29" t="str">
        <f>_xlfn.IFNA(VLOOKUP(Sales[customer_id], Cust[], 7,FALSE),"Unknown customer")</f>
        <v>Lagos</v>
      </c>
      <c r="P256" s="29" t="str">
        <f>_xlfn.IFNA(VLOOKUP(Sales[[#This Row],[customer_id]],Cust[],4, FALSE),"Unknown customer")</f>
        <v>Femi Nwachukwu</v>
      </c>
      <c r="Q256" s="29" t="str">
        <f>_xlfn.IFNA(VLOOKUP(Sales[[#This Row],[customer_id]], Cust[], 10, FALSE), "Unknown customer")</f>
        <v>Corporate</v>
      </c>
      <c r="R256" s="29">
        <f>SUM(Sales[quantity]*Sales[[#This Row],[unit_price_ngn]]*(1-Sales[[#This Row],[discount_pct]]))</f>
        <v>96000</v>
      </c>
      <c r="S256" s="29">
        <f>Sales[[#This Row],[revenue]]-(Sales[[#This Row],[quantity]]*Sales[[#This Row],[unit_cost_ngn]])</f>
        <v>38000</v>
      </c>
      <c r="T256" s="41" t="str">
        <f>TEXT(Sales[order_date], "yyyy-mm")</f>
        <v>2025-06</v>
      </c>
    </row>
    <row r="257" spans="1:20" ht="15" customHeight="1" x14ac:dyDescent="0.25">
      <c r="A257" s="10" t="s">
        <v>341</v>
      </c>
      <c r="B257" s="11">
        <v>45822</v>
      </c>
      <c r="C257" s="10" t="s">
        <v>32</v>
      </c>
      <c r="D257" s="10" t="s">
        <v>83</v>
      </c>
      <c r="E257" s="10" t="s">
        <v>45</v>
      </c>
      <c r="F257" s="10" t="s">
        <v>69</v>
      </c>
      <c r="G257" s="10" t="s">
        <v>66</v>
      </c>
      <c r="H257" s="10">
        <v>5</v>
      </c>
      <c r="I257" s="10">
        <v>32000</v>
      </c>
      <c r="J257" s="10">
        <v>21000</v>
      </c>
      <c r="K257" s="12">
        <v>0</v>
      </c>
      <c r="L257" s="10">
        <v>3</v>
      </c>
      <c r="M257" s="28" t="s">
        <v>342</v>
      </c>
      <c r="N257" s="29">
        <f>_xlfn.IFNA(VLOOKUP(Sales[customer_id],Cust[],11,FALSE),"Unknown")</f>
        <v>500000</v>
      </c>
      <c r="O257" s="29" t="str">
        <f>_xlfn.IFNA(VLOOKUP(Sales[customer_id], Cust[], 7,FALSE),"Unknown customer")</f>
        <v>Lagos</v>
      </c>
      <c r="P257" s="29" t="str">
        <f>_xlfn.IFNA(VLOOKUP(Sales[[#This Row],[customer_id]],Cust[],4, FALSE),"Unknown customer")</f>
        <v>Nneka Nnamdi</v>
      </c>
      <c r="Q257" s="29" t="str">
        <f>_xlfn.IFNA(VLOOKUP(Sales[[#This Row],[customer_id]], Cust[], 10, FALSE), "Unknown customer")</f>
        <v>Wholesale</v>
      </c>
      <c r="R257" s="29">
        <f>SUM(Sales[quantity]*Sales[[#This Row],[unit_price_ngn]]*(1-Sales[[#This Row],[discount_pct]]))</f>
        <v>160000</v>
      </c>
      <c r="S257" s="29">
        <f>Sales[[#This Row],[revenue]]-(Sales[[#This Row],[quantity]]*Sales[[#This Row],[unit_cost_ngn]])</f>
        <v>55000</v>
      </c>
      <c r="T257" s="41" t="str">
        <f>TEXT(Sales[order_date], "yyyy-mm")</f>
        <v>2025-06</v>
      </c>
    </row>
    <row r="258" spans="1:20" ht="15" customHeight="1" x14ac:dyDescent="0.25">
      <c r="A258" s="10" t="s">
        <v>343</v>
      </c>
      <c r="B258" s="11">
        <v>45823</v>
      </c>
      <c r="C258" s="10" t="s">
        <v>32</v>
      </c>
      <c r="D258" s="10" t="s">
        <v>83</v>
      </c>
      <c r="E258" s="10" t="s">
        <v>75</v>
      </c>
      <c r="F258" s="10" t="s">
        <v>72</v>
      </c>
      <c r="G258" s="10" t="s">
        <v>47</v>
      </c>
      <c r="H258" s="10">
        <v>1</v>
      </c>
      <c r="I258" s="10">
        <v>46000</v>
      </c>
      <c r="J258" s="10">
        <v>39000</v>
      </c>
      <c r="K258" s="12">
        <v>0</v>
      </c>
      <c r="L258" s="10">
        <v>2</v>
      </c>
      <c r="M258" s="28" t="s">
        <v>344</v>
      </c>
      <c r="N258" s="29">
        <f>_xlfn.IFNA(VLOOKUP(Sales[customer_id],Cust[],11,FALSE),"Unknown")</f>
        <v>500000</v>
      </c>
      <c r="O258" s="29" t="str">
        <f>_xlfn.IFNA(VLOOKUP(Sales[customer_id], Cust[], 7,FALSE),"Unknown customer")</f>
        <v>Lagos</v>
      </c>
      <c r="P258" s="29" t="str">
        <f>_xlfn.IFNA(VLOOKUP(Sales[[#This Row],[customer_id]],Cust[],4, FALSE),"Unknown customer")</f>
        <v>Nneka Iheanacho</v>
      </c>
      <c r="Q258" s="29" t="str">
        <f>_xlfn.IFNA(VLOOKUP(Sales[[#This Row],[customer_id]], Cust[], 10, FALSE), "Unknown customer")</f>
        <v>Retail</v>
      </c>
      <c r="R258" s="29">
        <f>SUM(Sales[quantity]*Sales[[#This Row],[unit_price_ngn]]*(1-Sales[[#This Row],[discount_pct]]))</f>
        <v>46000</v>
      </c>
      <c r="S258" s="29">
        <f>Sales[[#This Row],[revenue]]-(Sales[[#This Row],[quantity]]*Sales[[#This Row],[unit_cost_ngn]])</f>
        <v>7000</v>
      </c>
      <c r="T258" s="41" t="str">
        <f>TEXT(Sales[order_date], "yyyy-mm")</f>
        <v>2025-06</v>
      </c>
    </row>
    <row r="259" spans="1:20" ht="15" customHeight="1" x14ac:dyDescent="0.25">
      <c r="A259" s="10" t="s">
        <v>348</v>
      </c>
      <c r="B259" s="11">
        <v>45824</v>
      </c>
      <c r="C259" s="10" t="s">
        <v>32</v>
      </c>
      <c r="D259" s="10" t="s">
        <v>83</v>
      </c>
      <c r="E259" s="10" t="s">
        <v>45</v>
      </c>
      <c r="F259" s="10" t="s">
        <v>50</v>
      </c>
      <c r="G259" s="10" t="s">
        <v>51</v>
      </c>
      <c r="H259" s="10">
        <v>1</v>
      </c>
      <c r="I259" s="10">
        <v>41000</v>
      </c>
      <c r="J259" s="10">
        <v>25000</v>
      </c>
      <c r="K259" s="12">
        <v>0</v>
      </c>
      <c r="L259" s="10">
        <v>1</v>
      </c>
      <c r="M259" s="28" t="s">
        <v>256</v>
      </c>
      <c r="N259" s="29">
        <f>_xlfn.IFNA(VLOOKUP(Sales[customer_id],Cust[],11,FALSE),"Unknown")</f>
        <v>150000</v>
      </c>
      <c r="O259" s="29" t="str">
        <f>_xlfn.IFNA(VLOOKUP(Sales[customer_id], Cust[], 7,FALSE),"Unknown customer")</f>
        <v>Lagos</v>
      </c>
      <c r="P259" s="29" t="str">
        <f>_xlfn.IFNA(VLOOKUP(Sales[[#This Row],[customer_id]],Cust[],4, FALSE),"Unknown customer")</f>
        <v>Emeka Balogun</v>
      </c>
      <c r="Q259" s="29" t="str">
        <f>_xlfn.IFNA(VLOOKUP(Sales[[#This Row],[customer_id]], Cust[], 10, FALSE), "Unknown customer")</f>
        <v>Wholesale</v>
      </c>
      <c r="R259" s="29">
        <f>SUM(Sales[quantity]*Sales[[#This Row],[unit_price_ngn]]*(1-Sales[[#This Row],[discount_pct]]))</f>
        <v>41000</v>
      </c>
      <c r="S259" s="29">
        <f>Sales[[#This Row],[revenue]]-(Sales[[#This Row],[quantity]]*Sales[[#This Row],[unit_cost_ngn]])</f>
        <v>16000</v>
      </c>
      <c r="T259" s="41" t="str">
        <f>TEXT(Sales[order_date], "yyyy-mm")</f>
        <v>2025-06</v>
      </c>
    </row>
    <row r="260" spans="1:20" ht="15" customHeight="1" x14ac:dyDescent="0.25">
      <c r="A260" s="10" t="s">
        <v>349</v>
      </c>
      <c r="B260" s="11">
        <v>45827</v>
      </c>
      <c r="C260" s="10" t="s">
        <v>32</v>
      </c>
      <c r="D260" s="10" t="s">
        <v>83</v>
      </c>
      <c r="E260" s="10" t="s">
        <v>34</v>
      </c>
      <c r="F260" s="10" t="s">
        <v>35</v>
      </c>
      <c r="G260" s="10" t="s">
        <v>36</v>
      </c>
      <c r="H260" s="10">
        <v>3</v>
      </c>
      <c r="I260" s="10">
        <v>18500</v>
      </c>
      <c r="J260" s="10">
        <v>11800</v>
      </c>
      <c r="K260" s="12">
        <v>0</v>
      </c>
      <c r="L260" s="10">
        <v>1</v>
      </c>
      <c r="M260" s="28" t="s">
        <v>233</v>
      </c>
      <c r="N260" s="29">
        <f>_xlfn.IFNA(VLOOKUP(Sales[customer_id],Cust[],11,FALSE),"Unknown")</f>
        <v>150000</v>
      </c>
      <c r="O260" s="29" t="str">
        <f>_xlfn.IFNA(VLOOKUP(Sales[customer_id], Cust[], 7,FALSE),"Unknown customer")</f>
        <v>Lagos</v>
      </c>
      <c r="P260" s="29" t="str">
        <f>_xlfn.IFNA(VLOOKUP(Sales[[#This Row],[customer_id]],Cust[],4, FALSE),"Unknown customer")</f>
        <v>Grace Yusuf</v>
      </c>
      <c r="Q260" s="29" t="str">
        <f>_xlfn.IFNA(VLOOKUP(Sales[[#This Row],[customer_id]], Cust[], 10, FALSE), "Unknown customer")</f>
        <v>Retail</v>
      </c>
      <c r="R260" s="29">
        <f>SUM(Sales[quantity]*Sales[[#This Row],[unit_price_ngn]]*(1-Sales[[#This Row],[discount_pct]]))</f>
        <v>55500</v>
      </c>
      <c r="S260" s="29">
        <f>Sales[[#This Row],[revenue]]-(Sales[[#This Row],[quantity]]*Sales[[#This Row],[unit_cost_ngn]])</f>
        <v>20100</v>
      </c>
      <c r="T260" s="41" t="str">
        <f>TEXT(Sales[order_date], "yyyy-mm")</f>
        <v>2025-06</v>
      </c>
    </row>
    <row r="261" spans="1:20" ht="15" customHeight="1" x14ac:dyDescent="0.25">
      <c r="A261" s="10" t="s">
        <v>351</v>
      </c>
      <c r="B261" s="11">
        <v>45828</v>
      </c>
      <c r="C261" s="10" t="s">
        <v>32</v>
      </c>
      <c r="D261" s="10" t="s">
        <v>33</v>
      </c>
      <c r="E261" s="10" t="s">
        <v>75</v>
      </c>
      <c r="F261" s="10" t="s">
        <v>46</v>
      </c>
      <c r="G261" s="10" t="s">
        <v>47</v>
      </c>
      <c r="H261" s="10">
        <v>2</v>
      </c>
      <c r="I261" s="10">
        <v>9800</v>
      </c>
      <c r="J261" s="10">
        <v>7600</v>
      </c>
      <c r="K261" s="12">
        <v>0</v>
      </c>
      <c r="L261" s="10">
        <v>5</v>
      </c>
      <c r="M261" s="28" t="s">
        <v>256</v>
      </c>
      <c r="N261" s="29">
        <f>_xlfn.IFNA(VLOOKUP(Sales[customer_id],Cust[],11,FALSE),"Unknown")</f>
        <v>150000</v>
      </c>
      <c r="O261" s="29" t="str">
        <f>_xlfn.IFNA(VLOOKUP(Sales[customer_id], Cust[], 7,FALSE),"Unknown customer")</f>
        <v>Lagos</v>
      </c>
      <c r="P261" s="29" t="str">
        <f>_xlfn.IFNA(VLOOKUP(Sales[[#This Row],[customer_id]],Cust[],4, FALSE),"Unknown customer")</f>
        <v>Emeka Balogun</v>
      </c>
      <c r="Q261" s="29" t="str">
        <f>_xlfn.IFNA(VLOOKUP(Sales[[#This Row],[customer_id]], Cust[], 10, FALSE), "Unknown customer")</f>
        <v>Wholesale</v>
      </c>
      <c r="R261" s="29">
        <f>SUM(Sales[quantity]*Sales[[#This Row],[unit_price_ngn]]*(1-Sales[[#This Row],[discount_pct]]))</f>
        <v>19600</v>
      </c>
      <c r="S261" s="29">
        <f>Sales[[#This Row],[revenue]]-(Sales[[#This Row],[quantity]]*Sales[[#This Row],[unit_cost_ngn]])</f>
        <v>4400</v>
      </c>
      <c r="T261" s="41" t="str">
        <f>TEXT(Sales[order_date], "yyyy-mm")</f>
        <v>2025-06</v>
      </c>
    </row>
    <row r="262" spans="1:20" ht="15" customHeight="1" x14ac:dyDescent="0.25">
      <c r="A262" s="10" t="s">
        <v>356</v>
      </c>
      <c r="B262" s="11">
        <v>45831</v>
      </c>
      <c r="C262" s="10" t="s">
        <v>32</v>
      </c>
      <c r="D262" s="10" t="s">
        <v>33</v>
      </c>
      <c r="E262" s="10" t="s">
        <v>75</v>
      </c>
      <c r="F262" s="10" t="s">
        <v>101</v>
      </c>
      <c r="G262" s="10" t="s">
        <v>61</v>
      </c>
      <c r="H262" s="10">
        <v>10</v>
      </c>
      <c r="I262" s="10">
        <v>28000</v>
      </c>
      <c r="J262" s="10">
        <v>18500</v>
      </c>
      <c r="K262" s="12">
        <v>0</v>
      </c>
      <c r="L262" s="10">
        <v>2</v>
      </c>
      <c r="M262" s="28" t="s">
        <v>253</v>
      </c>
      <c r="N262" s="29">
        <f>_xlfn.IFNA(VLOOKUP(Sales[customer_id],Cust[],11,FALSE),"Unknown")</f>
        <v>250000</v>
      </c>
      <c r="O262" s="29" t="str">
        <f>_xlfn.IFNA(VLOOKUP(Sales[customer_id], Cust[], 7,FALSE),"Unknown customer")</f>
        <v>Lagos</v>
      </c>
      <c r="P262" s="29" t="str">
        <f>_xlfn.IFNA(VLOOKUP(Sales[[#This Row],[customer_id]],Cust[],4, FALSE),"Unknown customer")</f>
        <v>Amaka Bello</v>
      </c>
      <c r="Q262" s="29" t="str">
        <f>_xlfn.IFNA(VLOOKUP(Sales[[#This Row],[customer_id]], Cust[], 10, FALSE), "Unknown customer")</f>
        <v>Wholesale</v>
      </c>
      <c r="R262" s="29">
        <f>SUM(Sales[quantity]*Sales[[#This Row],[unit_price_ngn]]*(1-Sales[[#This Row],[discount_pct]]))</f>
        <v>280000</v>
      </c>
      <c r="S262" s="29">
        <f>Sales[[#This Row],[revenue]]-(Sales[[#This Row],[quantity]]*Sales[[#This Row],[unit_cost_ngn]])</f>
        <v>95000</v>
      </c>
      <c r="T262" s="41" t="str">
        <f>TEXT(Sales[order_date], "yyyy-mm")</f>
        <v>2025-06</v>
      </c>
    </row>
    <row r="263" spans="1:20" ht="15" customHeight="1" x14ac:dyDescent="0.25">
      <c r="A263" s="10" t="s">
        <v>360</v>
      </c>
      <c r="B263" s="11">
        <v>45834</v>
      </c>
      <c r="C263" s="10" t="s">
        <v>32</v>
      </c>
      <c r="D263" s="10" t="s">
        <v>83</v>
      </c>
      <c r="E263" s="10" t="s">
        <v>45</v>
      </c>
      <c r="F263" s="10" t="s">
        <v>199</v>
      </c>
      <c r="G263" s="10" t="s">
        <v>36</v>
      </c>
      <c r="H263" s="10">
        <v>8</v>
      </c>
      <c r="I263" s="10">
        <v>15500</v>
      </c>
      <c r="J263" s="10">
        <v>9900</v>
      </c>
      <c r="K263" s="12">
        <v>0</v>
      </c>
      <c r="L263" s="10">
        <v>3</v>
      </c>
      <c r="M263" s="28" t="s">
        <v>121</v>
      </c>
      <c r="N263" s="29">
        <f>_xlfn.IFNA(VLOOKUP(Sales[customer_id],Cust[],11,FALSE),"Unknown")</f>
        <v>50000</v>
      </c>
      <c r="O263" s="29" t="str">
        <f>_xlfn.IFNA(VLOOKUP(Sales[customer_id], Cust[], 7,FALSE),"Unknown customer")</f>
        <v>Lagos</v>
      </c>
      <c r="P263" s="29" t="str">
        <f>_xlfn.IFNA(VLOOKUP(Sales[[#This Row],[customer_id]],Cust[],4, FALSE),"Unknown customer")</f>
        <v>Lanre Balogun</v>
      </c>
      <c r="Q263" s="29" t="str">
        <f>_xlfn.IFNA(VLOOKUP(Sales[[#This Row],[customer_id]], Cust[], 10, FALSE), "Unknown customer")</f>
        <v>Retail</v>
      </c>
      <c r="R263" s="29">
        <f>SUM(Sales[quantity]*Sales[[#This Row],[unit_price_ngn]]*(1-Sales[[#This Row],[discount_pct]]))</f>
        <v>124000</v>
      </c>
      <c r="S263" s="29">
        <f>Sales[[#This Row],[revenue]]-(Sales[[#This Row],[quantity]]*Sales[[#This Row],[unit_cost_ngn]])</f>
        <v>44800</v>
      </c>
      <c r="T263" s="41" t="str">
        <f>TEXT(Sales[order_date], "yyyy-mm")</f>
        <v>2025-06</v>
      </c>
    </row>
    <row r="264" spans="1:20" ht="15" customHeight="1" x14ac:dyDescent="0.25">
      <c r="A264" s="10" t="s">
        <v>362</v>
      </c>
      <c r="B264" s="11">
        <v>45836</v>
      </c>
      <c r="C264" s="10" t="s">
        <v>32</v>
      </c>
      <c r="D264" s="10" t="s">
        <v>83</v>
      </c>
      <c r="E264" s="10" t="s">
        <v>45</v>
      </c>
      <c r="F264" s="10" t="s">
        <v>35</v>
      </c>
      <c r="G264" s="10" t="s">
        <v>36</v>
      </c>
      <c r="H264" s="10">
        <v>3</v>
      </c>
      <c r="I264" s="10">
        <v>18500</v>
      </c>
      <c r="J264" s="10">
        <v>11800</v>
      </c>
      <c r="K264" s="12">
        <v>0</v>
      </c>
      <c r="L264" s="10">
        <v>1</v>
      </c>
      <c r="M264" s="28" t="s">
        <v>229</v>
      </c>
      <c r="N264" s="29">
        <f>_xlfn.IFNA(VLOOKUP(Sales[customer_id],Cust[],11,FALSE),"Unknown")</f>
        <v>500000</v>
      </c>
      <c r="O264" s="29" t="str">
        <f>_xlfn.IFNA(VLOOKUP(Sales[customer_id], Cust[], 7,FALSE),"Unknown customer")</f>
        <v>Lagos</v>
      </c>
      <c r="P264" s="29" t="str">
        <f>_xlfn.IFNA(VLOOKUP(Sales[[#This Row],[customer_id]],Cust[],4, FALSE),"Unknown customer")</f>
        <v>Adaeze Nwosu</v>
      </c>
      <c r="Q264" s="29" t="str">
        <f>_xlfn.IFNA(VLOOKUP(Sales[[#This Row],[customer_id]], Cust[], 10, FALSE), "Unknown customer")</f>
        <v>Retail</v>
      </c>
      <c r="R264" s="29">
        <f>SUM(Sales[quantity]*Sales[[#This Row],[unit_price_ngn]]*(1-Sales[[#This Row],[discount_pct]]))</f>
        <v>55500</v>
      </c>
      <c r="S264" s="29">
        <f>Sales[[#This Row],[revenue]]-(Sales[[#This Row],[quantity]]*Sales[[#This Row],[unit_cost_ngn]])</f>
        <v>20100</v>
      </c>
      <c r="T264" s="41" t="str">
        <f>TEXT(Sales[order_date], "yyyy-mm")</f>
        <v>2025-06</v>
      </c>
    </row>
    <row r="265" spans="1:20" ht="15" customHeight="1" x14ac:dyDescent="0.25">
      <c r="A265" s="10" t="s">
        <v>366</v>
      </c>
      <c r="B265" s="11">
        <v>45837</v>
      </c>
      <c r="C265" s="10" t="s">
        <v>32</v>
      </c>
      <c r="D265" s="10" t="s">
        <v>33</v>
      </c>
      <c r="E265" s="10" t="s">
        <v>45</v>
      </c>
      <c r="F265" s="10" t="s">
        <v>78</v>
      </c>
      <c r="G265" s="10" t="s">
        <v>36</v>
      </c>
      <c r="H265" s="10">
        <v>1</v>
      </c>
      <c r="I265" s="10">
        <v>22000</v>
      </c>
      <c r="J265" s="10">
        <v>13800</v>
      </c>
      <c r="K265" s="12">
        <v>0.1</v>
      </c>
      <c r="L265" s="10">
        <v>2</v>
      </c>
      <c r="M265" s="28" t="s">
        <v>169</v>
      </c>
      <c r="N265" s="29">
        <f>_xlfn.IFNA(VLOOKUP(Sales[customer_id],Cust[],11,FALSE),"Unknown")</f>
        <v>100000</v>
      </c>
      <c r="O265" s="29" t="str">
        <f>_xlfn.IFNA(VLOOKUP(Sales[customer_id], Cust[], 7,FALSE),"Unknown customer")</f>
        <v>Lagos</v>
      </c>
      <c r="P265" s="29" t="str">
        <f>_xlfn.IFNA(VLOOKUP(Sales[[#This Row],[customer_id]],Cust[],4, FALSE),"Unknown customer")</f>
        <v>Ibrahim Obi</v>
      </c>
      <c r="Q265" s="29" t="str">
        <f>_xlfn.IFNA(VLOOKUP(Sales[[#This Row],[customer_id]], Cust[], 10, FALSE), "Unknown customer")</f>
        <v>Retail</v>
      </c>
      <c r="R265" s="29">
        <f>SUM(Sales[quantity]*Sales[[#This Row],[unit_price_ngn]]*(1-Sales[[#This Row],[discount_pct]]))</f>
        <v>19800</v>
      </c>
      <c r="S265" s="29">
        <f>Sales[[#This Row],[revenue]]-(Sales[[#This Row],[quantity]]*Sales[[#This Row],[unit_cost_ngn]])</f>
        <v>6000</v>
      </c>
      <c r="T265" s="41" t="str">
        <f>TEXT(Sales[order_date], "yyyy-mm")</f>
        <v>2025-06</v>
      </c>
    </row>
    <row r="266" spans="1:20" ht="15" customHeight="1" x14ac:dyDescent="0.25">
      <c r="A266" s="10" t="s">
        <v>369</v>
      </c>
      <c r="B266" s="11">
        <v>45837</v>
      </c>
      <c r="C266" s="10" t="s">
        <v>32</v>
      </c>
      <c r="D266" s="10" t="s">
        <v>83</v>
      </c>
      <c r="E266" s="10" t="s">
        <v>34</v>
      </c>
      <c r="F266" s="10" t="s">
        <v>65</v>
      </c>
      <c r="G266" s="10" t="s">
        <v>66</v>
      </c>
      <c r="H266" s="10">
        <v>3</v>
      </c>
      <c r="I266" s="10">
        <v>24000</v>
      </c>
      <c r="J266" s="10">
        <v>14500</v>
      </c>
      <c r="K266" s="12">
        <v>0</v>
      </c>
      <c r="L266" s="10">
        <v>2</v>
      </c>
      <c r="M266" s="28" t="s">
        <v>231</v>
      </c>
      <c r="N266" s="29">
        <f>_xlfn.IFNA(VLOOKUP(Sales[customer_id],Cust[],11,FALSE),"Unknown")</f>
        <v>100000</v>
      </c>
      <c r="O266" s="29" t="str">
        <f>_xlfn.IFNA(VLOOKUP(Sales[customer_id], Cust[], 7,FALSE),"Unknown customer")</f>
        <v>Lagos</v>
      </c>
      <c r="P266" s="29" t="str">
        <f>_xlfn.IFNA(VLOOKUP(Sales[[#This Row],[customer_id]],Cust[],4, FALSE),"Unknown customer")</f>
        <v>Chidi Nnamdi</v>
      </c>
      <c r="Q266" s="29" t="str">
        <f>_xlfn.IFNA(VLOOKUP(Sales[[#This Row],[customer_id]], Cust[], 10, FALSE), "Unknown customer")</f>
        <v>Wholesale</v>
      </c>
      <c r="R266" s="29">
        <f>SUM(Sales[quantity]*Sales[[#This Row],[unit_price_ngn]]*(1-Sales[[#This Row],[discount_pct]]))</f>
        <v>72000</v>
      </c>
      <c r="S266" s="29">
        <f>Sales[[#This Row],[revenue]]-(Sales[[#This Row],[quantity]]*Sales[[#This Row],[unit_cost_ngn]])</f>
        <v>28500</v>
      </c>
      <c r="T266" s="41" t="str">
        <f>TEXT(Sales[order_date], "yyyy-mm")</f>
        <v>2025-06</v>
      </c>
    </row>
    <row r="267" spans="1:20" ht="15" customHeight="1" x14ac:dyDescent="0.25">
      <c r="A267" s="10" t="s">
        <v>374</v>
      </c>
      <c r="B267" s="11">
        <v>45841</v>
      </c>
      <c r="C267" s="10" t="s">
        <v>32</v>
      </c>
      <c r="D267" s="10" t="s">
        <v>83</v>
      </c>
      <c r="E267" s="10" t="s">
        <v>34</v>
      </c>
      <c r="F267" s="10" t="s">
        <v>72</v>
      </c>
      <c r="G267" s="10" t="s">
        <v>47</v>
      </c>
      <c r="H267" s="10">
        <v>2</v>
      </c>
      <c r="I267" s="10">
        <v>46000</v>
      </c>
      <c r="J267" s="10">
        <v>39000</v>
      </c>
      <c r="K267" s="12">
        <v>0</v>
      </c>
      <c r="L267" s="10">
        <v>1</v>
      </c>
      <c r="M267" s="28" t="s">
        <v>375</v>
      </c>
      <c r="N267" s="29">
        <f>_xlfn.IFNA(VLOOKUP(Sales[customer_id],Cust[],11,FALSE),"Unknown")</f>
        <v>50000</v>
      </c>
      <c r="O267" s="29" t="str">
        <f>_xlfn.IFNA(VLOOKUP(Sales[customer_id], Cust[], 7,FALSE),"Unknown customer")</f>
        <v>Lagos</v>
      </c>
      <c r="P267" s="29" t="str">
        <f>_xlfn.IFNA(VLOOKUP(Sales[[#This Row],[customer_id]],Cust[],4, FALSE),"Unknown customer")</f>
        <v>Damilola Nwosu</v>
      </c>
      <c r="Q267" s="29" t="str">
        <f>_xlfn.IFNA(VLOOKUP(Sales[[#This Row],[customer_id]], Cust[], 10, FALSE), "Unknown customer")</f>
        <v>Retail</v>
      </c>
      <c r="R267" s="29">
        <f>SUM(Sales[quantity]*Sales[[#This Row],[unit_price_ngn]]*(1-Sales[[#This Row],[discount_pct]]))</f>
        <v>92000</v>
      </c>
      <c r="S267" s="29">
        <f>Sales[[#This Row],[revenue]]-(Sales[[#This Row],[quantity]]*Sales[[#This Row],[unit_cost_ngn]])</f>
        <v>14000</v>
      </c>
      <c r="T267" s="41" t="str">
        <f>TEXT(Sales[order_date], "yyyy-mm")</f>
        <v>2025-07</v>
      </c>
    </row>
    <row r="268" spans="1:20" ht="15" customHeight="1" x14ac:dyDescent="0.25">
      <c r="A268" s="10" t="s">
        <v>378</v>
      </c>
      <c r="B268" s="11">
        <v>45844</v>
      </c>
      <c r="C268" s="10" t="s">
        <v>32</v>
      </c>
      <c r="D268" s="10" t="s">
        <v>83</v>
      </c>
      <c r="E268" s="10" t="s">
        <v>34</v>
      </c>
      <c r="F268" s="10" t="s">
        <v>78</v>
      </c>
      <c r="G268" s="10" t="s">
        <v>36</v>
      </c>
      <c r="H268" s="10">
        <v>8</v>
      </c>
      <c r="I268" s="10">
        <v>22000</v>
      </c>
      <c r="J268" s="10">
        <v>13800</v>
      </c>
      <c r="K268" s="12">
        <v>0</v>
      </c>
      <c r="L268" s="10">
        <v>2</v>
      </c>
      <c r="M268" s="28" t="s">
        <v>334</v>
      </c>
      <c r="N268" s="29">
        <f>_xlfn.IFNA(VLOOKUP(Sales[customer_id],Cust[],11,FALSE),"Unknown")</f>
        <v>100000</v>
      </c>
      <c r="O268" s="29" t="str">
        <f>_xlfn.IFNA(VLOOKUP(Sales[customer_id], Cust[], 7,FALSE),"Unknown customer")</f>
        <v>Lagos</v>
      </c>
      <c r="P268" s="29" t="str">
        <f>_xlfn.IFNA(VLOOKUP(Sales[[#This Row],[customer_id]],Cust[],4, FALSE),"Unknown customer")</f>
        <v>Yemi Sanni</v>
      </c>
      <c r="Q268" s="29" t="str">
        <f>_xlfn.IFNA(VLOOKUP(Sales[[#This Row],[customer_id]], Cust[], 10, FALSE), "Unknown customer")</f>
        <v>Wholesale</v>
      </c>
      <c r="R268" s="29">
        <f>SUM(Sales[quantity]*Sales[[#This Row],[unit_price_ngn]]*(1-Sales[[#This Row],[discount_pct]]))</f>
        <v>176000</v>
      </c>
      <c r="S268" s="29">
        <f>Sales[[#This Row],[revenue]]-(Sales[[#This Row],[quantity]]*Sales[[#This Row],[unit_cost_ngn]])</f>
        <v>65600</v>
      </c>
      <c r="T268" s="41" t="str">
        <f>TEXT(Sales[order_date], "yyyy-mm")</f>
        <v>2025-07</v>
      </c>
    </row>
    <row r="269" spans="1:20" ht="15" customHeight="1" x14ac:dyDescent="0.25">
      <c r="A269" s="10" t="s">
        <v>381</v>
      </c>
      <c r="B269" s="11">
        <v>45848</v>
      </c>
      <c r="C269" s="10" t="s">
        <v>32</v>
      </c>
      <c r="D269" s="10" t="s">
        <v>33</v>
      </c>
      <c r="E269" s="10" t="s">
        <v>75</v>
      </c>
      <c r="F269" s="10" t="s">
        <v>199</v>
      </c>
      <c r="G269" s="10" t="s">
        <v>36</v>
      </c>
      <c r="H269" s="10">
        <v>1</v>
      </c>
      <c r="I269" s="10">
        <v>15500</v>
      </c>
      <c r="J269" s="10">
        <v>9900</v>
      </c>
      <c r="K269" s="12">
        <v>0</v>
      </c>
      <c r="L269" s="10">
        <v>1</v>
      </c>
      <c r="M269" s="28" t="s">
        <v>138</v>
      </c>
      <c r="N269" s="29">
        <f>_xlfn.IFNA(VLOOKUP(Sales[customer_id],Cust[],11,FALSE),"Unknown")</f>
        <v>250000</v>
      </c>
      <c r="O269" s="29" t="str">
        <f>_xlfn.IFNA(VLOOKUP(Sales[customer_id], Cust[], 7,FALSE),"Unknown customer")</f>
        <v>Lagos</v>
      </c>
      <c r="P269" s="29" t="str">
        <f>_xlfn.IFNA(VLOOKUP(Sales[[#This Row],[customer_id]],Cust[],4, FALSE),"Unknown customer")</f>
        <v>Kelechi Balogun</v>
      </c>
      <c r="Q269" s="29" t="str">
        <f>_xlfn.IFNA(VLOOKUP(Sales[[#This Row],[customer_id]], Cust[], 10, FALSE), "Unknown customer")</f>
        <v>Retail</v>
      </c>
      <c r="R269" s="29">
        <f>SUM(Sales[quantity]*Sales[[#This Row],[unit_price_ngn]]*(1-Sales[[#This Row],[discount_pct]]))</f>
        <v>15500</v>
      </c>
      <c r="S269" s="29">
        <f>Sales[[#This Row],[revenue]]-(Sales[[#This Row],[quantity]]*Sales[[#This Row],[unit_cost_ngn]])</f>
        <v>5600</v>
      </c>
      <c r="T269" s="41" t="str">
        <f>TEXT(Sales[order_date], "yyyy-mm")</f>
        <v>2025-07</v>
      </c>
    </row>
    <row r="270" spans="1:20" ht="15" customHeight="1" x14ac:dyDescent="0.25">
      <c r="A270" s="10" t="s">
        <v>390</v>
      </c>
      <c r="B270" s="11">
        <v>45854</v>
      </c>
      <c r="C270" s="10" t="s">
        <v>32</v>
      </c>
      <c r="D270" s="10" t="s">
        <v>83</v>
      </c>
      <c r="E270" s="10" t="s">
        <v>75</v>
      </c>
      <c r="F270" s="10" t="s">
        <v>199</v>
      </c>
      <c r="G270" s="10" t="s">
        <v>36</v>
      </c>
      <c r="H270" s="10">
        <v>2</v>
      </c>
      <c r="I270" s="10">
        <v>15500</v>
      </c>
      <c r="J270" s="10">
        <v>9900</v>
      </c>
      <c r="K270" s="12">
        <v>0</v>
      </c>
      <c r="L270" s="10">
        <v>1</v>
      </c>
      <c r="M270" s="28" t="s">
        <v>37</v>
      </c>
      <c r="N270" s="29">
        <f>_xlfn.IFNA(VLOOKUP(Sales[customer_id],Cust[],11,FALSE),"Unknown")</f>
        <v>150000</v>
      </c>
      <c r="O270" s="29" t="str">
        <f>_xlfn.IFNA(VLOOKUP(Sales[customer_id], Cust[], 7,FALSE),"Unknown customer")</f>
        <v>Lagos</v>
      </c>
      <c r="P270" s="29" t="str">
        <f>_xlfn.IFNA(VLOOKUP(Sales[[#This Row],[customer_id]],Cust[],4, FALSE),"Unknown customer")</f>
        <v>Blessing Yusuf</v>
      </c>
      <c r="Q270" s="29" t="str">
        <f>_xlfn.IFNA(VLOOKUP(Sales[[#This Row],[customer_id]], Cust[], 10, FALSE), "Unknown customer")</f>
        <v>Corporate</v>
      </c>
      <c r="R270" s="29">
        <f>SUM(Sales[quantity]*Sales[[#This Row],[unit_price_ngn]]*(1-Sales[[#This Row],[discount_pct]]))</f>
        <v>31000</v>
      </c>
      <c r="S270" s="29">
        <f>Sales[[#This Row],[revenue]]-(Sales[[#This Row],[quantity]]*Sales[[#This Row],[unit_cost_ngn]])</f>
        <v>11200</v>
      </c>
      <c r="T270" s="41" t="str">
        <f>TEXT(Sales[order_date], "yyyy-mm")</f>
        <v>2025-07</v>
      </c>
    </row>
    <row r="271" spans="1:20" ht="15" customHeight="1" x14ac:dyDescent="0.25">
      <c r="A271" s="10" t="s">
        <v>394</v>
      </c>
      <c r="B271" s="11">
        <v>45856</v>
      </c>
      <c r="C271" s="10" t="s">
        <v>32</v>
      </c>
      <c r="D271" s="10" t="s">
        <v>33</v>
      </c>
      <c r="E271" s="10" t="s">
        <v>45</v>
      </c>
      <c r="F271" s="10" t="s">
        <v>88</v>
      </c>
      <c r="G271" s="10" t="s">
        <v>89</v>
      </c>
      <c r="H271" s="10">
        <v>5</v>
      </c>
      <c r="I271" s="10">
        <v>6800</v>
      </c>
      <c r="J271" s="10">
        <v>3900</v>
      </c>
      <c r="K271" s="12">
        <v>0.1</v>
      </c>
      <c r="L271" s="10">
        <v>5</v>
      </c>
      <c r="M271" s="28" t="s">
        <v>155</v>
      </c>
      <c r="N271" s="29">
        <f>_xlfn.IFNA(VLOOKUP(Sales[customer_id],Cust[],11,FALSE),"Unknown")</f>
        <v>100000</v>
      </c>
      <c r="O271" s="29" t="str">
        <f>_xlfn.IFNA(VLOOKUP(Sales[customer_id], Cust[], 7,FALSE),"Unknown customer")</f>
        <v>Lagos</v>
      </c>
      <c r="P271" s="29" t="str">
        <f>_xlfn.IFNA(VLOOKUP(Sales[[#This Row],[customer_id]],Cust[],4, FALSE),"Unknown customer")</f>
        <v>Emeka Danjuma</v>
      </c>
      <c r="Q271" s="29" t="str">
        <f>_xlfn.IFNA(VLOOKUP(Sales[[#This Row],[customer_id]], Cust[], 10, FALSE), "Unknown customer")</f>
        <v>Retail</v>
      </c>
      <c r="R271" s="29">
        <f>SUM(Sales[quantity]*Sales[[#This Row],[unit_price_ngn]]*(1-Sales[[#This Row],[discount_pct]]))</f>
        <v>30600</v>
      </c>
      <c r="S271" s="29">
        <f>Sales[[#This Row],[revenue]]-(Sales[[#This Row],[quantity]]*Sales[[#This Row],[unit_cost_ngn]])</f>
        <v>11100</v>
      </c>
      <c r="T271" s="41" t="str">
        <f>TEXT(Sales[order_date], "yyyy-mm")</f>
        <v>2025-07</v>
      </c>
    </row>
    <row r="272" spans="1:20" ht="15" customHeight="1" x14ac:dyDescent="0.25">
      <c r="A272" s="10" t="s">
        <v>400</v>
      </c>
      <c r="B272" s="11">
        <v>45863</v>
      </c>
      <c r="C272" s="10" t="s">
        <v>32</v>
      </c>
      <c r="D272" s="10" t="s">
        <v>83</v>
      </c>
      <c r="E272" s="10" t="s">
        <v>34</v>
      </c>
      <c r="F272" s="10" t="s">
        <v>35</v>
      </c>
      <c r="G272" s="10" t="s">
        <v>36</v>
      </c>
      <c r="H272" s="10">
        <v>2</v>
      </c>
      <c r="I272" s="10">
        <v>18500</v>
      </c>
      <c r="J272" s="10">
        <v>11800</v>
      </c>
      <c r="K272" s="12">
        <v>0</v>
      </c>
      <c r="L272" s="10">
        <v>3</v>
      </c>
      <c r="M272" s="28" t="s">
        <v>278</v>
      </c>
      <c r="N272" s="29">
        <f>_xlfn.IFNA(VLOOKUP(Sales[customer_id],Cust[],11,FALSE),"Unknown")</f>
        <v>150000</v>
      </c>
      <c r="O272" s="29" t="str">
        <f>_xlfn.IFNA(VLOOKUP(Sales[customer_id], Cust[], 7,FALSE),"Unknown customer")</f>
        <v>Lagos</v>
      </c>
      <c r="P272" s="29" t="str">
        <f>_xlfn.IFNA(VLOOKUP(Sales[[#This Row],[customer_id]],Cust[],4, FALSE),"Unknown customer")</f>
        <v>Lanre Balogun</v>
      </c>
      <c r="Q272" s="29" t="str">
        <f>_xlfn.IFNA(VLOOKUP(Sales[[#This Row],[customer_id]], Cust[], 10, FALSE), "Unknown customer")</f>
        <v>Retail</v>
      </c>
      <c r="R272" s="29">
        <f>SUM(Sales[quantity]*Sales[[#This Row],[unit_price_ngn]]*(1-Sales[[#This Row],[discount_pct]]))</f>
        <v>37000</v>
      </c>
      <c r="S272" s="29">
        <f>Sales[[#This Row],[revenue]]-(Sales[[#This Row],[quantity]]*Sales[[#This Row],[unit_cost_ngn]])</f>
        <v>13400</v>
      </c>
      <c r="T272" s="41" t="str">
        <f>TEXT(Sales[order_date], "yyyy-mm")</f>
        <v>2025-07</v>
      </c>
    </row>
    <row r="273" spans="1:20" ht="15" customHeight="1" x14ac:dyDescent="0.25">
      <c r="A273" s="10" t="s">
        <v>403</v>
      </c>
      <c r="B273" s="11">
        <v>45866</v>
      </c>
      <c r="C273" s="10" t="s">
        <v>32</v>
      </c>
      <c r="D273" s="10" t="s">
        <v>33</v>
      </c>
      <c r="E273" s="10" t="s">
        <v>75</v>
      </c>
      <c r="F273" s="10" t="s">
        <v>50</v>
      </c>
      <c r="G273" s="10" t="s">
        <v>51</v>
      </c>
      <c r="H273" s="10">
        <v>8</v>
      </c>
      <c r="I273" s="10">
        <v>41000</v>
      </c>
      <c r="J273" s="10">
        <v>25000</v>
      </c>
      <c r="K273" s="12">
        <v>0</v>
      </c>
      <c r="L273" s="10">
        <v>3</v>
      </c>
      <c r="M273" s="28" t="s">
        <v>404</v>
      </c>
      <c r="N273" s="29">
        <f>_xlfn.IFNA(VLOOKUP(Sales[customer_id],Cust[],11,FALSE),"Unknown")</f>
        <v>250000</v>
      </c>
      <c r="O273" s="29" t="str">
        <f>_xlfn.IFNA(VLOOKUP(Sales[customer_id], Cust[], 7,FALSE),"Unknown customer")</f>
        <v>Lagos</v>
      </c>
      <c r="P273" s="29" t="str">
        <f>_xlfn.IFNA(VLOOKUP(Sales[[#This Row],[customer_id]],Cust[],4, FALSE),"Unknown customer")</f>
        <v>Amaka Balogun</v>
      </c>
      <c r="Q273" s="29" t="str">
        <f>_xlfn.IFNA(VLOOKUP(Sales[[#This Row],[customer_id]], Cust[], 10, FALSE), "Unknown customer")</f>
        <v>Corporate</v>
      </c>
      <c r="R273" s="29">
        <f>SUM(Sales[quantity]*Sales[[#This Row],[unit_price_ngn]]*(1-Sales[[#This Row],[discount_pct]]))</f>
        <v>328000</v>
      </c>
      <c r="S273" s="29">
        <f>Sales[[#This Row],[revenue]]-(Sales[[#This Row],[quantity]]*Sales[[#This Row],[unit_cost_ngn]])</f>
        <v>128000</v>
      </c>
      <c r="T273" s="41" t="str">
        <f>TEXT(Sales[order_date], "yyyy-mm")</f>
        <v>2025-07</v>
      </c>
    </row>
    <row r="274" spans="1:20" ht="15" customHeight="1" x14ac:dyDescent="0.25">
      <c r="A274" s="10" t="s">
        <v>410</v>
      </c>
      <c r="B274" s="11">
        <v>45870</v>
      </c>
      <c r="C274" s="10" t="s">
        <v>32</v>
      </c>
      <c r="D274" s="10" t="s">
        <v>33</v>
      </c>
      <c r="E274" s="10" t="s">
        <v>56</v>
      </c>
      <c r="F274" s="10" t="s">
        <v>199</v>
      </c>
      <c r="G274" s="10" t="s">
        <v>36</v>
      </c>
      <c r="H274" s="10">
        <v>2</v>
      </c>
      <c r="I274" s="10">
        <v>15500</v>
      </c>
      <c r="J274" s="10">
        <v>9900</v>
      </c>
      <c r="K274" s="12">
        <v>0</v>
      </c>
      <c r="L274" s="10">
        <v>3</v>
      </c>
      <c r="M274" s="28" t="s">
        <v>334</v>
      </c>
      <c r="N274" s="29">
        <f>_xlfn.IFNA(VLOOKUP(Sales[customer_id],Cust[],11,FALSE),"Unknown")</f>
        <v>100000</v>
      </c>
      <c r="O274" s="29" t="str">
        <f>_xlfn.IFNA(VLOOKUP(Sales[customer_id], Cust[], 7,FALSE),"Unknown customer")</f>
        <v>Lagos</v>
      </c>
      <c r="P274" s="29" t="str">
        <f>_xlfn.IFNA(VLOOKUP(Sales[[#This Row],[customer_id]],Cust[],4, FALSE),"Unknown customer")</f>
        <v>Yemi Sanni</v>
      </c>
      <c r="Q274" s="29" t="str">
        <f>_xlfn.IFNA(VLOOKUP(Sales[[#This Row],[customer_id]], Cust[], 10, FALSE), "Unknown customer")</f>
        <v>Wholesale</v>
      </c>
      <c r="R274" s="29">
        <f>SUM(Sales[quantity]*Sales[[#This Row],[unit_price_ngn]]*(1-Sales[[#This Row],[discount_pct]]))</f>
        <v>31000</v>
      </c>
      <c r="S274" s="29">
        <f>Sales[[#This Row],[revenue]]-(Sales[[#This Row],[quantity]]*Sales[[#This Row],[unit_cost_ngn]])</f>
        <v>11200</v>
      </c>
      <c r="T274" s="41" t="str">
        <f>TEXT(Sales[order_date], "yyyy-mm")</f>
        <v>2025-08</v>
      </c>
    </row>
    <row r="275" spans="1:20" ht="15" customHeight="1" x14ac:dyDescent="0.25">
      <c r="A275" s="10" t="s">
        <v>411</v>
      </c>
      <c r="B275" s="11">
        <v>45870</v>
      </c>
      <c r="C275" s="10" t="s">
        <v>32</v>
      </c>
      <c r="D275" s="10" t="s">
        <v>83</v>
      </c>
      <c r="E275" s="10" t="s">
        <v>45</v>
      </c>
      <c r="F275" s="10" t="s">
        <v>50</v>
      </c>
      <c r="G275" s="10" t="s">
        <v>51</v>
      </c>
      <c r="H275" s="10">
        <v>1</v>
      </c>
      <c r="I275" s="10">
        <v>41000</v>
      </c>
      <c r="J275" s="10">
        <v>25000</v>
      </c>
      <c r="K275" s="12">
        <v>0</v>
      </c>
      <c r="L275" s="10">
        <v>10</v>
      </c>
      <c r="M275" s="28" t="s">
        <v>334</v>
      </c>
      <c r="N275" s="29">
        <f>_xlfn.IFNA(VLOOKUP(Sales[customer_id],Cust[],11,FALSE),"Unknown")</f>
        <v>100000</v>
      </c>
      <c r="O275" s="29" t="str">
        <f>_xlfn.IFNA(VLOOKUP(Sales[customer_id], Cust[], 7,FALSE),"Unknown customer")</f>
        <v>Lagos</v>
      </c>
      <c r="P275" s="29" t="str">
        <f>_xlfn.IFNA(VLOOKUP(Sales[[#This Row],[customer_id]],Cust[],4, FALSE),"Unknown customer")</f>
        <v>Yemi Sanni</v>
      </c>
      <c r="Q275" s="29" t="str">
        <f>_xlfn.IFNA(VLOOKUP(Sales[[#This Row],[customer_id]], Cust[], 10, FALSE), "Unknown customer")</f>
        <v>Wholesale</v>
      </c>
      <c r="R275" s="29">
        <f>SUM(Sales[quantity]*Sales[[#This Row],[unit_price_ngn]]*(1-Sales[[#This Row],[discount_pct]]))</f>
        <v>41000</v>
      </c>
      <c r="S275" s="29">
        <f>Sales[[#This Row],[revenue]]-(Sales[[#This Row],[quantity]]*Sales[[#This Row],[unit_cost_ngn]])</f>
        <v>16000</v>
      </c>
      <c r="T275" s="41" t="str">
        <f>TEXT(Sales[order_date], "yyyy-mm")</f>
        <v>2025-08</v>
      </c>
    </row>
    <row r="276" spans="1:20" ht="15" customHeight="1" x14ac:dyDescent="0.25">
      <c r="A276" s="10" t="s">
        <v>419</v>
      </c>
      <c r="B276" s="11">
        <v>45875</v>
      </c>
      <c r="C276" s="10" t="s">
        <v>32</v>
      </c>
      <c r="D276" s="10" t="s">
        <v>33</v>
      </c>
      <c r="E276" s="10" t="s">
        <v>45</v>
      </c>
      <c r="F276" s="10" t="s">
        <v>88</v>
      </c>
      <c r="G276" s="10" t="s">
        <v>89</v>
      </c>
      <c r="H276" s="10">
        <v>2</v>
      </c>
      <c r="I276" s="10">
        <v>6800</v>
      </c>
      <c r="J276" s="10">
        <v>3900</v>
      </c>
      <c r="K276" s="12">
        <v>0</v>
      </c>
      <c r="L276" s="10">
        <v>4</v>
      </c>
      <c r="M276" s="28" t="s">
        <v>324</v>
      </c>
      <c r="N276" s="29">
        <f>_xlfn.IFNA(VLOOKUP(Sales[customer_id],Cust[],11,FALSE),"Unknown")</f>
        <v>50000</v>
      </c>
      <c r="O276" s="29" t="str">
        <f>_xlfn.IFNA(VLOOKUP(Sales[customer_id], Cust[], 7,FALSE),"Unknown customer")</f>
        <v>Lagos</v>
      </c>
      <c r="P276" s="29" t="str">
        <f>_xlfn.IFNA(VLOOKUP(Sales[[#This Row],[customer_id]],Cust[],4, FALSE),"Unknown customer")</f>
        <v>Efe Umeh</v>
      </c>
      <c r="Q276" s="29" t="str">
        <f>_xlfn.IFNA(VLOOKUP(Sales[[#This Row],[customer_id]], Cust[], 10, FALSE), "Unknown customer")</f>
        <v>Wholesale</v>
      </c>
      <c r="R276" s="29">
        <f>SUM(Sales[quantity]*Sales[[#This Row],[unit_price_ngn]]*(1-Sales[[#This Row],[discount_pct]]))</f>
        <v>13600</v>
      </c>
      <c r="S276" s="29">
        <f>Sales[[#This Row],[revenue]]-(Sales[[#This Row],[quantity]]*Sales[[#This Row],[unit_cost_ngn]])</f>
        <v>5800</v>
      </c>
      <c r="T276" s="41" t="str">
        <f>TEXT(Sales[order_date], "yyyy-mm")</f>
        <v>2025-08</v>
      </c>
    </row>
    <row r="277" spans="1:20" ht="15" customHeight="1" x14ac:dyDescent="0.25">
      <c r="A277" s="10" t="s">
        <v>431</v>
      </c>
      <c r="B277" s="11">
        <v>45884</v>
      </c>
      <c r="C277" s="10" t="s">
        <v>32</v>
      </c>
      <c r="D277" s="10" t="s">
        <v>33</v>
      </c>
      <c r="E277" s="10" t="s">
        <v>45</v>
      </c>
      <c r="F277" s="10" t="s">
        <v>57</v>
      </c>
      <c r="G277" s="10" t="s">
        <v>51</v>
      </c>
      <c r="H277" s="10">
        <v>1</v>
      </c>
      <c r="I277" s="10">
        <v>27500</v>
      </c>
      <c r="J277" s="10">
        <v>16500</v>
      </c>
      <c r="K277" s="12">
        <v>0</v>
      </c>
      <c r="L277" s="10">
        <v>1</v>
      </c>
      <c r="M277" s="28" t="s">
        <v>344</v>
      </c>
      <c r="N277" s="29">
        <f>_xlfn.IFNA(VLOOKUP(Sales[customer_id],Cust[],11,FALSE),"Unknown")</f>
        <v>500000</v>
      </c>
      <c r="O277" s="29" t="str">
        <f>_xlfn.IFNA(VLOOKUP(Sales[customer_id], Cust[], 7,FALSE),"Unknown customer")</f>
        <v>Lagos</v>
      </c>
      <c r="P277" s="29" t="str">
        <f>_xlfn.IFNA(VLOOKUP(Sales[[#This Row],[customer_id]],Cust[],4, FALSE),"Unknown customer")</f>
        <v>Nneka Iheanacho</v>
      </c>
      <c r="Q277" s="29" t="str">
        <f>_xlfn.IFNA(VLOOKUP(Sales[[#This Row],[customer_id]], Cust[], 10, FALSE), "Unknown customer")</f>
        <v>Retail</v>
      </c>
      <c r="R277" s="29">
        <f>SUM(Sales[quantity]*Sales[[#This Row],[unit_price_ngn]]*(1-Sales[[#This Row],[discount_pct]]))</f>
        <v>27500</v>
      </c>
      <c r="S277" s="29">
        <f>Sales[[#This Row],[revenue]]-(Sales[[#This Row],[quantity]]*Sales[[#This Row],[unit_cost_ngn]])</f>
        <v>11000</v>
      </c>
      <c r="T277" s="41" t="str">
        <f>TEXT(Sales[order_date], "yyyy-mm")</f>
        <v>2025-08</v>
      </c>
    </row>
    <row r="278" spans="1:20" ht="15" customHeight="1" x14ac:dyDescent="0.25">
      <c r="A278" s="10" t="s">
        <v>432</v>
      </c>
      <c r="B278" s="11">
        <v>45885</v>
      </c>
      <c r="C278" s="10" t="s">
        <v>32</v>
      </c>
      <c r="D278" s="10" t="s">
        <v>33</v>
      </c>
      <c r="E278" s="10" t="s">
        <v>75</v>
      </c>
      <c r="F278" s="10" t="s">
        <v>35</v>
      </c>
      <c r="G278" s="10" t="s">
        <v>36</v>
      </c>
      <c r="H278" s="10">
        <v>3</v>
      </c>
      <c r="I278" s="10">
        <v>18500</v>
      </c>
      <c r="J278" s="10">
        <v>11800</v>
      </c>
      <c r="K278" s="12">
        <v>0</v>
      </c>
      <c r="L278" s="10">
        <v>1</v>
      </c>
      <c r="M278" s="28" t="s">
        <v>248</v>
      </c>
      <c r="N278" s="29">
        <f>_xlfn.IFNA(VLOOKUP(Sales[customer_id],Cust[],11,FALSE),"Unknown")</f>
        <v>500000</v>
      </c>
      <c r="O278" s="29" t="str">
        <f>_xlfn.IFNA(VLOOKUP(Sales[customer_id], Cust[], 7,FALSE),"Unknown customer")</f>
        <v>Lagos</v>
      </c>
      <c r="P278" s="29" t="str">
        <f>_xlfn.IFNA(VLOOKUP(Sales[[#This Row],[customer_id]],Cust[],4, FALSE),"Unknown customer")</f>
        <v>Zainab Sanni</v>
      </c>
      <c r="Q278" s="29" t="str">
        <f>_xlfn.IFNA(VLOOKUP(Sales[[#This Row],[customer_id]], Cust[], 10, FALSE), "Unknown customer")</f>
        <v>Retail</v>
      </c>
      <c r="R278" s="29">
        <f>SUM(Sales[quantity]*Sales[[#This Row],[unit_price_ngn]]*(1-Sales[[#This Row],[discount_pct]]))</f>
        <v>55500</v>
      </c>
      <c r="S278" s="29">
        <f>Sales[[#This Row],[revenue]]-(Sales[[#This Row],[quantity]]*Sales[[#This Row],[unit_cost_ngn]])</f>
        <v>20100</v>
      </c>
      <c r="T278" s="41" t="str">
        <f>TEXT(Sales[order_date], "yyyy-mm")</f>
        <v>2025-08</v>
      </c>
    </row>
    <row r="279" spans="1:20" ht="15" customHeight="1" x14ac:dyDescent="0.25">
      <c r="A279" s="10" t="s">
        <v>434</v>
      </c>
      <c r="B279" s="11">
        <v>45885</v>
      </c>
      <c r="C279" s="10" t="s">
        <v>32</v>
      </c>
      <c r="D279" s="10" t="s">
        <v>33</v>
      </c>
      <c r="E279" s="10" t="s">
        <v>75</v>
      </c>
      <c r="F279" s="10" t="s">
        <v>78</v>
      </c>
      <c r="G279" s="10" t="s">
        <v>36</v>
      </c>
      <c r="H279" s="10">
        <v>1</v>
      </c>
      <c r="I279" s="10">
        <v>22000</v>
      </c>
      <c r="J279" s="10">
        <v>13800</v>
      </c>
      <c r="K279" s="12">
        <v>0</v>
      </c>
      <c r="L279" s="10">
        <v>3</v>
      </c>
      <c r="M279" s="28" t="s">
        <v>334</v>
      </c>
      <c r="N279" s="29">
        <f>_xlfn.IFNA(VLOOKUP(Sales[customer_id],Cust[],11,FALSE),"Unknown")</f>
        <v>100000</v>
      </c>
      <c r="O279" s="29" t="str">
        <f>_xlfn.IFNA(VLOOKUP(Sales[customer_id], Cust[], 7,FALSE),"Unknown customer")</f>
        <v>Lagos</v>
      </c>
      <c r="P279" s="29" t="str">
        <f>_xlfn.IFNA(VLOOKUP(Sales[[#This Row],[customer_id]],Cust[],4, FALSE),"Unknown customer")</f>
        <v>Yemi Sanni</v>
      </c>
      <c r="Q279" s="29" t="str">
        <f>_xlfn.IFNA(VLOOKUP(Sales[[#This Row],[customer_id]], Cust[], 10, FALSE), "Unknown customer")</f>
        <v>Wholesale</v>
      </c>
      <c r="R279" s="29">
        <f>SUM(Sales[quantity]*Sales[[#This Row],[unit_price_ngn]]*(1-Sales[[#This Row],[discount_pct]]))</f>
        <v>22000</v>
      </c>
      <c r="S279" s="29">
        <f>Sales[[#This Row],[revenue]]-(Sales[[#This Row],[quantity]]*Sales[[#This Row],[unit_cost_ngn]])</f>
        <v>8200</v>
      </c>
      <c r="T279" s="41" t="str">
        <f>TEXT(Sales[order_date], "yyyy-mm")</f>
        <v>2025-08</v>
      </c>
    </row>
    <row r="280" spans="1:20" ht="15" customHeight="1" x14ac:dyDescent="0.25">
      <c r="A280" s="10" t="s">
        <v>439</v>
      </c>
      <c r="B280" s="11">
        <v>45888</v>
      </c>
      <c r="C280" s="10" t="s">
        <v>32</v>
      </c>
      <c r="D280" s="10" t="s">
        <v>33</v>
      </c>
      <c r="E280" s="10" t="s">
        <v>34</v>
      </c>
      <c r="F280" s="10" t="s">
        <v>72</v>
      </c>
      <c r="G280" s="10" t="s">
        <v>47</v>
      </c>
      <c r="H280" s="10">
        <v>1</v>
      </c>
      <c r="I280" s="10">
        <v>46000</v>
      </c>
      <c r="J280" s="10">
        <v>39000</v>
      </c>
      <c r="K280" s="12">
        <v>0.1</v>
      </c>
      <c r="L280" s="10">
        <v>2</v>
      </c>
      <c r="M280" s="28" t="s">
        <v>278</v>
      </c>
      <c r="N280" s="29">
        <f>_xlfn.IFNA(VLOOKUP(Sales[customer_id],Cust[],11,FALSE),"Unknown")</f>
        <v>150000</v>
      </c>
      <c r="O280" s="29" t="str">
        <f>_xlfn.IFNA(VLOOKUP(Sales[customer_id], Cust[], 7,FALSE),"Unknown customer")</f>
        <v>Lagos</v>
      </c>
      <c r="P280" s="29" t="str">
        <f>_xlfn.IFNA(VLOOKUP(Sales[[#This Row],[customer_id]],Cust[],4, FALSE),"Unknown customer")</f>
        <v>Lanre Balogun</v>
      </c>
      <c r="Q280" s="29" t="str">
        <f>_xlfn.IFNA(VLOOKUP(Sales[[#This Row],[customer_id]], Cust[], 10, FALSE), "Unknown customer")</f>
        <v>Retail</v>
      </c>
      <c r="R280" s="29">
        <f>SUM(Sales[quantity]*Sales[[#This Row],[unit_price_ngn]]*(1-Sales[[#This Row],[discount_pct]]))</f>
        <v>41400</v>
      </c>
      <c r="S280" s="29">
        <f>Sales[[#This Row],[revenue]]-(Sales[[#This Row],[quantity]]*Sales[[#This Row],[unit_cost_ngn]])</f>
        <v>2400</v>
      </c>
      <c r="T280" s="41" t="str">
        <f>TEXT(Sales[order_date], "yyyy-mm")</f>
        <v>2025-08</v>
      </c>
    </row>
    <row r="281" spans="1:20" ht="15" customHeight="1" x14ac:dyDescent="0.25">
      <c r="A281" s="10" t="s">
        <v>440</v>
      </c>
      <c r="B281" s="11">
        <v>45888</v>
      </c>
      <c r="C281" s="10" t="s">
        <v>32</v>
      </c>
      <c r="D281" s="10" t="s">
        <v>33</v>
      </c>
      <c r="E281" s="10" t="s">
        <v>75</v>
      </c>
      <c r="F281" s="10" t="s">
        <v>101</v>
      </c>
      <c r="G281" s="10" t="s">
        <v>61</v>
      </c>
      <c r="H281" s="10">
        <v>1</v>
      </c>
      <c r="I281" s="10">
        <v>28000</v>
      </c>
      <c r="J281" s="10">
        <v>18500</v>
      </c>
      <c r="K281" s="12">
        <v>0.1</v>
      </c>
      <c r="L281" s="10">
        <v>7</v>
      </c>
      <c r="M281" s="28" t="s">
        <v>121</v>
      </c>
      <c r="N281" s="29">
        <f>_xlfn.IFNA(VLOOKUP(Sales[customer_id],Cust[],11,FALSE),"Unknown")</f>
        <v>50000</v>
      </c>
      <c r="O281" s="29" t="str">
        <f>_xlfn.IFNA(VLOOKUP(Sales[customer_id], Cust[], 7,FALSE),"Unknown customer")</f>
        <v>Lagos</v>
      </c>
      <c r="P281" s="29" t="str">
        <f>_xlfn.IFNA(VLOOKUP(Sales[[#This Row],[customer_id]],Cust[],4, FALSE),"Unknown customer")</f>
        <v>Lanre Balogun</v>
      </c>
      <c r="Q281" s="29" t="str">
        <f>_xlfn.IFNA(VLOOKUP(Sales[[#This Row],[customer_id]], Cust[], 10, FALSE), "Unknown customer")</f>
        <v>Retail</v>
      </c>
      <c r="R281" s="29">
        <f>SUM(Sales[quantity]*Sales[[#This Row],[unit_price_ngn]]*(1-Sales[[#This Row],[discount_pct]]))</f>
        <v>25200</v>
      </c>
      <c r="S281" s="29">
        <f>Sales[[#This Row],[revenue]]-(Sales[[#This Row],[quantity]]*Sales[[#This Row],[unit_cost_ngn]])</f>
        <v>6700</v>
      </c>
      <c r="T281" s="41" t="str">
        <f>TEXT(Sales[order_date], "yyyy-mm")</f>
        <v>2025-08</v>
      </c>
    </row>
    <row r="282" spans="1:20" ht="15" customHeight="1" x14ac:dyDescent="0.25">
      <c r="A282" s="10" t="s">
        <v>441</v>
      </c>
      <c r="B282" s="11">
        <v>45889</v>
      </c>
      <c r="C282" s="10" t="s">
        <v>32</v>
      </c>
      <c r="D282" s="10" t="s">
        <v>83</v>
      </c>
      <c r="E282" s="10" t="s">
        <v>75</v>
      </c>
      <c r="F282" s="10" t="s">
        <v>69</v>
      </c>
      <c r="G282" s="10" t="s">
        <v>66</v>
      </c>
      <c r="H282" s="10">
        <v>1</v>
      </c>
      <c r="I282" s="10">
        <v>32000</v>
      </c>
      <c r="J282" s="10">
        <v>21000</v>
      </c>
      <c r="K282" s="12">
        <v>0</v>
      </c>
      <c r="L282" s="10">
        <v>5</v>
      </c>
      <c r="M282" s="28" t="s">
        <v>297</v>
      </c>
      <c r="N282" s="29">
        <f>_xlfn.IFNA(VLOOKUP(Sales[customer_id],Cust[],11,FALSE),"Unknown")</f>
        <v>150000</v>
      </c>
      <c r="O282" s="29" t="str">
        <f>_xlfn.IFNA(VLOOKUP(Sales[customer_id], Cust[], 7,FALSE),"Unknown customer")</f>
        <v>Lagos</v>
      </c>
      <c r="P282" s="29" t="str">
        <f>_xlfn.IFNA(VLOOKUP(Sales[[#This Row],[customer_id]],Cust[],4, FALSE),"Unknown customer")</f>
        <v>Ijeoma Adeleke</v>
      </c>
      <c r="Q282" s="29" t="str">
        <f>_xlfn.IFNA(VLOOKUP(Sales[[#This Row],[customer_id]], Cust[], 10, FALSE), "Unknown customer")</f>
        <v>Corporate</v>
      </c>
      <c r="R282" s="29">
        <f>SUM(Sales[quantity]*Sales[[#This Row],[unit_price_ngn]]*(1-Sales[[#This Row],[discount_pct]]))</f>
        <v>32000</v>
      </c>
      <c r="S282" s="29">
        <f>Sales[[#This Row],[revenue]]-(Sales[[#This Row],[quantity]]*Sales[[#This Row],[unit_cost_ngn]])</f>
        <v>11000</v>
      </c>
      <c r="T282" s="41" t="str">
        <f>TEXT(Sales[order_date], "yyyy-mm")</f>
        <v>2025-08</v>
      </c>
    </row>
    <row r="283" spans="1:20" ht="15" customHeight="1" x14ac:dyDescent="0.25">
      <c r="A283" s="10" t="s">
        <v>448</v>
      </c>
      <c r="B283" s="11">
        <v>45892</v>
      </c>
      <c r="C283" s="10" t="s">
        <v>32</v>
      </c>
      <c r="D283" s="10" t="s">
        <v>33</v>
      </c>
      <c r="E283" s="10" t="s">
        <v>45</v>
      </c>
      <c r="F283" s="10" t="s">
        <v>46</v>
      </c>
      <c r="G283" s="10" t="s">
        <v>47</v>
      </c>
      <c r="H283" s="10">
        <v>1</v>
      </c>
      <c r="I283" s="10">
        <v>9800</v>
      </c>
      <c r="J283" s="10">
        <v>7600</v>
      </c>
      <c r="K283" s="12">
        <v>0</v>
      </c>
      <c r="L283" s="10">
        <v>3</v>
      </c>
      <c r="M283" s="28" t="s">
        <v>278</v>
      </c>
      <c r="N283" s="29">
        <f>_xlfn.IFNA(VLOOKUP(Sales[customer_id],Cust[],11,FALSE),"Unknown")</f>
        <v>150000</v>
      </c>
      <c r="O283" s="29" t="str">
        <f>_xlfn.IFNA(VLOOKUP(Sales[customer_id], Cust[], 7,FALSE),"Unknown customer")</f>
        <v>Lagos</v>
      </c>
      <c r="P283" s="29" t="str">
        <f>_xlfn.IFNA(VLOOKUP(Sales[[#This Row],[customer_id]],Cust[],4, FALSE),"Unknown customer")</f>
        <v>Lanre Balogun</v>
      </c>
      <c r="Q283" s="29" t="str">
        <f>_xlfn.IFNA(VLOOKUP(Sales[[#This Row],[customer_id]], Cust[], 10, FALSE), "Unknown customer")</f>
        <v>Retail</v>
      </c>
      <c r="R283" s="29">
        <f>SUM(Sales[quantity]*Sales[[#This Row],[unit_price_ngn]]*(1-Sales[[#This Row],[discount_pct]]))</f>
        <v>9800</v>
      </c>
      <c r="S283" s="29">
        <f>Sales[[#This Row],[revenue]]-(Sales[[#This Row],[quantity]]*Sales[[#This Row],[unit_cost_ngn]])</f>
        <v>2200</v>
      </c>
      <c r="T283" s="41" t="str">
        <f>TEXT(Sales[order_date], "yyyy-mm")</f>
        <v>2025-08</v>
      </c>
    </row>
    <row r="284" spans="1:20" ht="15" customHeight="1" x14ac:dyDescent="0.25">
      <c r="A284" s="10" t="s">
        <v>450</v>
      </c>
      <c r="B284" s="11">
        <v>45894</v>
      </c>
      <c r="C284" s="10" t="s">
        <v>32</v>
      </c>
      <c r="D284" s="10" t="s">
        <v>33</v>
      </c>
      <c r="E284" s="10" t="s">
        <v>34</v>
      </c>
      <c r="F284" s="10" t="s">
        <v>60</v>
      </c>
      <c r="G284" s="10" t="s">
        <v>61</v>
      </c>
      <c r="H284" s="10">
        <v>1</v>
      </c>
      <c r="I284" s="10">
        <v>12000</v>
      </c>
      <c r="J284" s="10">
        <v>7200</v>
      </c>
      <c r="K284" s="12">
        <v>0</v>
      </c>
      <c r="L284" s="10">
        <v>7</v>
      </c>
      <c r="M284" s="28" t="s">
        <v>451</v>
      </c>
      <c r="N284" s="29">
        <f>_xlfn.IFNA(VLOOKUP(Sales[customer_id],Cust[],11,FALSE),"Unknown")</f>
        <v>50000</v>
      </c>
      <c r="O284" s="29" t="str">
        <f>_xlfn.IFNA(VLOOKUP(Sales[customer_id], Cust[], 7,FALSE),"Unknown customer")</f>
        <v>Lagos</v>
      </c>
      <c r="P284" s="29" t="str">
        <f>_xlfn.IFNA(VLOOKUP(Sales[[#This Row],[customer_id]],Cust[],4, FALSE),"Unknown customer")</f>
        <v>Grace Musa</v>
      </c>
      <c r="Q284" s="29" t="str">
        <f>_xlfn.IFNA(VLOOKUP(Sales[[#This Row],[customer_id]], Cust[], 10, FALSE), "Unknown customer")</f>
        <v>Wholesale</v>
      </c>
      <c r="R284" s="29">
        <f>SUM(Sales[quantity]*Sales[[#This Row],[unit_price_ngn]]*(1-Sales[[#This Row],[discount_pct]]))</f>
        <v>12000</v>
      </c>
      <c r="S284" s="29">
        <f>Sales[[#This Row],[revenue]]-(Sales[[#This Row],[quantity]]*Sales[[#This Row],[unit_cost_ngn]])</f>
        <v>4800</v>
      </c>
      <c r="T284" s="41" t="str">
        <f>TEXT(Sales[order_date], "yyyy-mm")</f>
        <v>2025-08</v>
      </c>
    </row>
    <row r="285" spans="1:20" ht="15" customHeight="1" x14ac:dyDescent="0.25">
      <c r="A285" s="10" t="s">
        <v>454</v>
      </c>
      <c r="B285" s="11">
        <v>45898</v>
      </c>
      <c r="C285" s="10" t="s">
        <v>32</v>
      </c>
      <c r="D285" s="10" t="s">
        <v>33</v>
      </c>
      <c r="E285" s="10" t="s">
        <v>75</v>
      </c>
      <c r="F285" s="10" t="s">
        <v>199</v>
      </c>
      <c r="G285" s="10" t="s">
        <v>36</v>
      </c>
      <c r="H285" s="10">
        <v>3</v>
      </c>
      <c r="I285" s="10">
        <v>15500</v>
      </c>
      <c r="J285" s="10">
        <v>9900</v>
      </c>
      <c r="K285" s="12">
        <v>0</v>
      </c>
      <c r="L285" s="10">
        <v>4</v>
      </c>
      <c r="M285" s="28" t="s">
        <v>159</v>
      </c>
      <c r="N285" s="29">
        <f>_xlfn.IFNA(VLOOKUP(Sales[customer_id],Cust[],11,FALSE),"Unknown")</f>
        <v>250000</v>
      </c>
      <c r="O285" s="29" t="str">
        <f>_xlfn.IFNA(VLOOKUP(Sales[customer_id], Cust[], 7,FALSE),"Unknown customer")</f>
        <v>Lagos</v>
      </c>
      <c r="P285" s="29" t="str">
        <f>_xlfn.IFNA(VLOOKUP(Sales[[#This Row],[customer_id]],Cust[],4, FALSE),"Unknown customer")</f>
        <v>Temitope Okonkwo</v>
      </c>
      <c r="Q285" s="29" t="str">
        <f>_xlfn.IFNA(VLOOKUP(Sales[[#This Row],[customer_id]], Cust[], 10, FALSE), "Unknown customer")</f>
        <v>Wholesale</v>
      </c>
      <c r="R285" s="29">
        <f>SUM(Sales[quantity]*Sales[[#This Row],[unit_price_ngn]]*(1-Sales[[#This Row],[discount_pct]]))</f>
        <v>46500</v>
      </c>
      <c r="S285" s="29">
        <f>Sales[[#This Row],[revenue]]-(Sales[[#This Row],[quantity]]*Sales[[#This Row],[unit_cost_ngn]])</f>
        <v>16800</v>
      </c>
      <c r="T285" s="41" t="str">
        <f>TEXT(Sales[order_date], "yyyy-mm")</f>
        <v>2025-08</v>
      </c>
    </row>
    <row r="286" spans="1:20" ht="15" customHeight="1" x14ac:dyDescent="0.25">
      <c r="A286" s="10" t="s">
        <v>457</v>
      </c>
      <c r="B286" s="11">
        <v>45899</v>
      </c>
      <c r="C286" s="10" t="s">
        <v>32</v>
      </c>
      <c r="D286" s="10" t="s">
        <v>33</v>
      </c>
      <c r="E286" s="10" t="s">
        <v>34</v>
      </c>
      <c r="F286" s="10" t="s">
        <v>72</v>
      </c>
      <c r="G286" s="10" t="s">
        <v>47</v>
      </c>
      <c r="H286" s="10">
        <v>4</v>
      </c>
      <c r="I286" s="10">
        <v>46000</v>
      </c>
      <c r="J286" s="10">
        <v>39000</v>
      </c>
      <c r="K286" s="12">
        <v>0</v>
      </c>
      <c r="L286" s="10">
        <v>5</v>
      </c>
      <c r="M286" s="28" t="s">
        <v>90</v>
      </c>
      <c r="N286" s="29">
        <f>_xlfn.IFNA(VLOOKUP(Sales[customer_id],Cust[],11,FALSE),"Unknown")</f>
        <v>500000</v>
      </c>
      <c r="O286" s="29" t="str">
        <f>_xlfn.IFNA(VLOOKUP(Sales[customer_id], Cust[], 7,FALSE),"Unknown customer")</f>
        <v>Lagos</v>
      </c>
      <c r="P286" s="29" t="str">
        <f>_xlfn.IFNA(VLOOKUP(Sales[[#This Row],[customer_id]],Cust[],4, FALSE),"Unknown customer")</f>
        <v>Obinna Kalu</v>
      </c>
      <c r="Q286" s="29" t="str">
        <f>_xlfn.IFNA(VLOOKUP(Sales[[#This Row],[customer_id]], Cust[], 10, FALSE), "Unknown customer")</f>
        <v>Wholesale</v>
      </c>
      <c r="R286" s="29">
        <f>SUM(Sales[quantity]*Sales[[#This Row],[unit_price_ngn]]*(1-Sales[[#This Row],[discount_pct]]))</f>
        <v>184000</v>
      </c>
      <c r="S286" s="29">
        <f>Sales[[#This Row],[revenue]]-(Sales[[#This Row],[quantity]]*Sales[[#This Row],[unit_cost_ngn]])</f>
        <v>28000</v>
      </c>
      <c r="T286" s="41" t="str">
        <f>TEXT(Sales[order_date], "yyyy-mm")</f>
        <v>2025-08</v>
      </c>
    </row>
    <row r="287" spans="1:20" ht="15" customHeight="1" x14ac:dyDescent="0.25">
      <c r="A287" s="10" t="s">
        <v>459</v>
      </c>
      <c r="B287" s="11">
        <v>45900</v>
      </c>
      <c r="C287" s="10" t="s">
        <v>32</v>
      </c>
      <c r="D287" s="10" t="s">
        <v>83</v>
      </c>
      <c r="E287" s="10" t="s">
        <v>56</v>
      </c>
      <c r="F287" s="10" t="s">
        <v>199</v>
      </c>
      <c r="G287" s="10" t="s">
        <v>36</v>
      </c>
      <c r="H287" s="10">
        <v>3</v>
      </c>
      <c r="I287" s="10">
        <v>15500</v>
      </c>
      <c r="J287" s="10">
        <v>9900</v>
      </c>
      <c r="K287" s="12">
        <v>0</v>
      </c>
      <c r="L287" s="10">
        <v>4</v>
      </c>
      <c r="M287" s="28" t="s">
        <v>278</v>
      </c>
      <c r="N287" s="29">
        <f>_xlfn.IFNA(VLOOKUP(Sales[customer_id],Cust[],11,FALSE),"Unknown")</f>
        <v>150000</v>
      </c>
      <c r="O287" s="29" t="str">
        <f>_xlfn.IFNA(VLOOKUP(Sales[customer_id], Cust[], 7,FALSE),"Unknown customer")</f>
        <v>Lagos</v>
      </c>
      <c r="P287" s="29" t="str">
        <f>_xlfn.IFNA(VLOOKUP(Sales[[#This Row],[customer_id]],Cust[],4, FALSE),"Unknown customer")</f>
        <v>Lanre Balogun</v>
      </c>
      <c r="Q287" s="29" t="str">
        <f>_xlfn.IFNA(VLOOKUP(Sales[[#This Row],[customer_id]], Cust[], 10, FALSE), "Unknown customer")</f>
        <v>Retail</v>
      </c>
      <c r="R287" s="29">
        <f>SUM(Sales[quantity]*Sales[[#This Row],[unit_price_ngn]]*(1-Sales[[#This Row],[discount_pct]]))</f>
        <v>46500</v>
      </c>
      <c r="S287" s="29">
        <f>Sales[[#This Row],[revenue]]-(Sales[[#This Row],[quantity]]*Sales[[#This Row],[unit_cost_ngn]])</f>
        <v>16800</v>
      </c>
      <c r="T287" s="41" t="str">
        <f>TEXT(Sales[order_date], "yyyy-mm")</f>
        <v>2025-08</v>
      </c>
    </row>
    <row r="288" spans="1:20" ht="15" customHeight="1" x14ac:dyDescent="0.25">
      <c r="A288" s="10" t="s">
        <v>461</v>
      </c>
      <c r="B288" s="11">
        <v>45900</v>
      </c>
      <c r="C288" s="10" t="s">
        <v>32</v>
      </c>
      <c r="D288" s="10" t="s">
        <v>33</v>
      </c>
      <c r="E288" s="10" t="s">
        <v>45</v>
      </c>
      <c r="F288" s="10" t="s">
        <v>88</v>
      </c>
      <c r="G288" s="10" t="s">
        <v>89</v>
      </c>
      <c r="H288" s="10">
        <v>3</v>
      </c>
      <c r="I288" s="10">
        <v>6800</v>
      </c>
      <c r="J288" s="10">
        <v>3900</v>
      </c>
      <c r="K288" s="12">
        <v>0.05</v>
      </c>
      <c r="L288" s="10">
        <v>5</v>
      </c>
      <c r="M288" s="28" t="s">
        <v>229</v>
      </c>
      <c r="N288" s="29">
        <f>_xlfn.IFNA(VLOOKUP(Sales[customer_id],Cust[],11,FALSE),"Unknown")</f>
        <v>500000</v>
      </c>
      <c r="O288" s="29" t="str">
        <f>_xlfn.IFNA(VLOOKUP(Sales[customer_id], Cust[], 7,FALSE),"Unknown customer")</f>
        <v>Lagos</v>
      </c>
      <c r="P288" s="29" t="str">
        <f>_xlfn.IFNA(VLOOKUP(Sales[[#This Row],[customer_id]],Cust[],4, FALSE),"Unknown customer")</f>
        <v>Adaeze Nwosu</v>
      </c>
      <c r="Q288" s="29" t="str">
        <f>_xlfn.IFNA(VLOOKUP(Sales[[#This Row],[customer_id]], Cust[], 10, FALSE), "Unknown customer")</f>
        <v>Retail</v>
      </c>
      <c r="R288" s="29">
        <f>SUM(Sales[quantity]*Sales[[#This Row],[unit_price_ngn]]*(1-Sales[[#This Row],[discount_pct]]))</f>
        <v>19380</v>
      </c>
      <c r="S288" s="29">
        <f>Sales[[#This Row],[revenue]]-(Sales[[#This Row],[quantity]]*Sales[[#This Row],[unit_cost_ngn]])</f>
        <v>7680</v>
      </c>
      <c r="T288" s="41" t="str">
        <f>TEXT(Sales[order_date], "yyyy-mm")</f>
        <v>2025-08</v>
      </c>
    </row>
    <row r="289" spans="1:20" ht="15" customHeight="1" x14ac:dyDescent="0.25">
      <c r="A289" s="10" t="s">
        <v>462</v>
      </c>
      <c r="B289" s="11">
        <v>45901</v>
      </c>
      <c r="C289" s="10" t="s">
        <v>32</v>
      </c>
      <c r="D289" s="10" t="s">
        <v>83</v>
      </c>
      <c r="E289" s="10" t="s">
        <v>56</v>
      </c>
      <c r="F289" s="10" t="s">
        <v>72</v>
      </c>
      <c r="G289" s="10" t="s">
        <v>47</v>
      </c>
      <c r="H289" s="10">
        <v>1</v>
      </c>
      <c r="I289" s="10">
        <v>46000</v>
      </c>
      <c r="J289" s="10">
        <v>39000</v>
      </c>
      <c r="K289" s="12">
        <v>0.05</v>
      </c>
      <c r="L289" s="10">
        <v>3</v>
      </c>
      <c r="M289" s="28" t="s">
        <v>131</v>
      </c>
      <c r="N289" s="29">
        <f>_xlfn.IFNA(VLOOKUP(Sales[customer_id],Cust[],11,FALSE),"Unknown")</f>
        <v>250000</v>
      </c>
      <c r="O289" s="29" t="str">
        <f>_xlfn.IFNA(VLOOKUP(Sales[customer_id], Cust[], 7,FALSE),"Unknown customer")</f>
        <v>Lagos</v>
      </c>
      <c r="P289" s="29" t="str">
        <f>_xlfn.IFNA(VLOOKUP(Sales[[#This Row],[customer_id]],Cust[],4, FALSE),"Unknown customer")</f>
        <v>Tunde Oyelaran</v>
      </c>
      <c r="Q289" s="29" t="str">
        <f>_xlfn.IFNA(VLOOKUP(Sales[[#This Row],[customer_id]], Cust[], 10, FALSE), "Unknown customer")</f>
        <v>Retail</v>
      </c>
      <c r="R289" s="29">
        <f>SUM(Sales[quantity]*Sales[[#This Row],[unit_price_ngn]]*(1-Sales[[#This Row],[discount_pct]]))</f>
        <v>43700</v>
      </c>
      <c r="S289" s="29">
        <f>Sales[[#This Row],[revenue]]-(Sales[[#This Row],[quantity]]*Sales[[#This Row],[unit_cost_ngn]])</f>
        <v>4700</v>
      </c>
      <c r="T289" s="41" t="str">
        <f>TEXT(Sales[order_date], "yyyy-mm")</f>
        <v>2025-09</v>
      </c>
    </row>
    <row r="290" spans="1:20" ht="15" customHeight="1" x14ac:dyDescent="0.25">
      <c r="A290" s="10" t="s">
        <v>463</v>
      </c>
      <c r="B290" s="11">
        <v>45902</v>
      </c>
      <c r="C290" s="10" t="s">
        <v>32</v>
      </c>
      <c r="D290" s="10" t="s">
        <v>33</v>
      </c>
      <c r="E290" s="10" t="s">
        <v>75</v>
      </c>
      <c r="F290" s="10" t="s">
        <v>69</v>
      </c>
      <c r="G290" s="10" t="s">
        <v>66</v>
      </c>
      <c r="H290" s="10">
        <v>2</v>
      </c>
      <c r="I290" s="10">
        <v>32000</v>
      </c>
      <c r="J290" s="10">
        <v>21000</v>
      </c>
      <c r="K290" s="12">
        <v>0</v>
      </c>
      <c r="L290" s="10">
        <v>2</v>
      </c>
      <c r="M290" s="28" t="s">
        <v>231</v>
      </c>
      <c r="N290" s="29">
        <f>_xlfn.IFNA(VLOOKUP(Sales[customer_id],Cust[],11,FALSE),"Unknown")</f>
        <v>100000</v>
      </c>
      <c r="O290" s="29" t="str">
        <f>_xlfn.IFNA(VLOOKUP(Sales[customer_id], Cust[], 7,FALSE),"Unknown customer")</f>
        <v>Lagos</v>
      </c>
      <c r="P290" s="29" t="str">
        <f>_xlfn.IFNA(VLOOKUP(Sales[[#This Row],[customer_id]],Cust[],4, FALSE),"Unknown customer")</f>
        <v>Chidi Nnamdi</v>
      </c>
      <c r="Q290" s="29" t="str">
        <f>_xlfn.IFNA(VLOOKUP(Sales[[#This Row],[customer_id]], Cust[], 10, FALSE), "Unknown customer")</f>
        <v>Wholesale</v>
      </c>
      <c r="R290" s="29">
        <f>SUM(Sales[quantity]*Sales[[#This Row],[unit_price_ngn]]*(1-Sales[[#This Row],[discount_pct]]))</f>
        <v>64000</v>
      </c>
      <c r="S290" s="29">
        <f>Sales[[#This Row],[revenue]]-(Sales[[#This Row],[quantity]]*Sales[[#This Row],[unit_cost_ngn]])</f>
        <v>22000</v>
      </c>
      <c r="T290" s="41" t="str">
        <f>TEXT(Sales[order_date], "yyyy-mm")</f>
        <v>2025-09</v>
      </c>
    </row>
    <row r="291" spans="1:20" ht="15" customHeight="1" x14ac:dyDescent="0.25">
      <c r="A291" s="10" t="s">
        <v>470</v>
      </c>
      <c r="B291" s="11">
        <v>45919</v>
      </c>
      <c r="C291" s="10" t="s">
        <v>32</v>
      </c>
      <c r="D291" s="10" t="s">
        <v>83</v>
      </c>
      <c r="E291" s="10" t="s">
        <v>45</v>
      </c>
      <c r="F291" s="10" t="s">
        <v>60</v>
      </c>
      <c r="G291" s="10" t="s">
        <v>61</v>
      </c>
      <c r="H291" s="10">
        <v>5</v>
      </c>
      <c r="I291" s="10">
        <v>12000</v>
      </c>
      <c r="J291" s="10">
        <v>7200</v>
      </c>
      <c r="K291" s="12">
        <v>0</v>
      </c>
      <c r="L291" s="10">
        <v>2</v>
      </c>
      <c r="M291" s="28" t="s">
        <v>253</v>
      </c>
      <c r="N291" s="29">
        <f>_xlfn.IFNA(VLOOKUP(Sales[customer_id],Cust[],11,FALSE),"Unknown")</f>
        <v>250000</v>
      </c>
      <c r="O291" s="29" t="str">
        <f>_xlfn.IFNA(VLOOKUP(Sales[customer_id], Cust[], 7,FALSE),"Unknown customer")</f>
        <v>Lagos</v>
      </c>
      <c r="P291" s="29" t="str">
        <f>_xlfn.IFNA(VLOOKUP(Sales[[#This Row],[customer_id]],Cust[],4, FALSE),"Unknown customer")</f>
        <v>Amaka Bello</v>
      </c>
      <c r="Q291" s="29" t="str">
        <f>_xlfn.IFNA(VLOOKUP(Sales[[#This Row],[customer_id]], Cust[], 10, FALSE), "Unknown customer")</f>
        <v>Wholesale</v>
      </c>
      <c r="R291" s="29">
        <f>SUM(Sales[quantity]*Sales[[#This Row],[unit_price_ngn]]*(1-Sales[[#This Row],[discount_pct]]))</f>
        <v>60000</v>
      </c>
      <c r="S291" s="29">
        <f>Sales[[#This Row],[revenue]]-(Sales[[#This Row],[quantity]]*Sales[[#This Row],[unit_cost_ngn]])</f>
        <v>24000</v>
      </c>
      <c r="T291" s="41" t="str">
        <f>TEXT(Sales[order_date], "yyyy-mm")</f>
        <v>2025-09</v>
      </c>
    </row>
    <row r="292" spans="1:20" ht="15" customHeight="1" x14ac:dyDescent="0.25">
      <c r="A292" s="10" t="s">
        <v>475</v>
      </c>
      <c r="B292" s="11">
        <v>45931</v>
      </c>
      <c r="C292" s="10" t="s">
        <v>32</v>
      </c>
      <c r="D292" s="10" t="s">
        <v>33</v>
      </c>
      <c r="E292" s="10" t="s">
        <v>75</v>
      </c>
      <c r="F292" s="10" t="s">
        <v>65</v>
      </c>
      <c r="G292" s="10" t="s">
        <v>66</v>
      </c>
      <c r="H292" s="10">
        <v>8</v>
      </c>
      <c r="I292" s="10">
        <v>24000</v>
      </c>
      <c r="J292" s="10">
        <v>14500</v>
      </c>
      <c r="K292" s="12">
        <v>0</v>
      </c>
      <c r="L292" s="10">
        <v>4</v>
      </c>
      <c r="M292" s="28" t="s">
        <v>334</v>
      </c>
      <c r="N292" s="29">
        <f>_xlfn.IFNA(VLOOKUP(Sales[customer_id],Cust[],11,FALSE),"Unknown")</f>
        <v>100000</v>
      </c>
      <c r="O292" s="29" t="str">
        <f>_xlfn.IFNA(VLOOKUP(Sales[customer_id], Cust[], 7,FALSE),"Unknown customer")</f>
        <v>Lagos</v>
      </c>
      <c r="P292" s="29" t="str">
        <f>_xlfn.IFNA(VLOOKUP(Sales[[#This Row],[customer_id]],Cust[],4, FALSE),"Unknown customer")</f>
        <v>Yemi Sanni</v>
      </c>
      <c r="Q292" s="29" t="str">
        <f>_xlfn.IFNA(VLOOKUP(Sales[[#This Row],[customer_id]], Cust[], 10, FALSE), "Unknown customer")</f>
        <v>Wholesale</v>
      </c>
      <c r="R292" s="29">
        <f>SUM(Sales[quantity]*Sales[[#This Row],[unit_price_ngn]]*(1-Sales[[#This Row],[discount_pct]]))</f>
        <v>192000</v>
      </c>
      <c r="S292" s="29">
        <f>Sales[[#This Row],[revenue]]-(Sales[[#This Row],[quantity]]*Sales[[#This Row],[unit_cost_ngn]])</f>
        <v>76000</v>
      </c>
      <c r="T292" s="41" t="str">
        <f>TEXT(Sales[order_date], "yyyy-mm")</f>
        <v>2025-10</v>
      </c>
    </row>
    <row r="293" spans="1:20" ht="15" customHeight="1" x14ac:dyDescent="0.25">
      <c r="A293" s="10" t="s">
        <v>479</v>
      </c>
      <c r="B293" s="11">
        <v>45934</v>
      </c>
      <c r="C293" s="10" t="s">
        <v>32</v>
      </c>
      <c r="D293" s="10" t="s">
        <v>83</v>
      </c>
      <c r="E293" s="10" t="s">
        <v>56</v>
      </c>
      <c r="F293" s="10" t="s">
        <v>46</v>
      </c>
      <c r="G293" s="10" t="s">
        <v>47</v>
      </c>
      <c r="H293" s="10">
        <v>2</v>
      </c>
      <c r="I293" s="10">
        <v>9800</v>
      </c>
      <c r="J293" s="10">
        <v>7600</v>
      </c>
      <c r="K293" s="12">
        <v>0.05</v>
      </c>
      <c r="L293" s="10">
        <v>7</v>
      </c>
      <c r="M293" s="28" t="s">
        <v>272</v>
      </c>
      <c r="N293" s="29">
        <f>_xlfn.IFNA(VLOOKUP(Sales[customer_id],Cust[],11,FALSE),"Unknown")</f>
        <v>50000</v>
      </c>
      <c r="O293" s="29" t="str">
        <f>_xlfn.IFNA(VLOOKUP(Sales[customer_id], Cust[], 7,FALSE),"Unknown customer")</f>
        <v>Lagos</v>
      </c>
      <c r="P293" s="29" t="str">
        <f>_xlfn.IFNA(VLOOKUP(Sales[[#This Row],[customer_id]],Cust[],4, FALSE),"Unknown customer")</f>
        <v>Efe Musa</v>
      </c>
      <c r="Q293" s="29" t="str">
        <f>_xlfn.IFNA(VLOOKUP(Sales[[#This Row],[customer_id]], Cust[], 10, FALSE), "Unknown customer")</f>
        <v>Retail</v>
      </c>
      <c r="R293" s="29">
        <f>SUM(Sales[quantity]*Sales[[#This Row],[unit_price_ngn]]*(1-Sales[[#This Row],[discount_pct]]))</f>
        <v>18620</v>
      </c>
      <c r="S293" s="29">
        <f>Sales[[#This Row],[revenue]]-(Sales[[#This Row],[quantity]]*Sales[[#This Row],[unit_cost_ngn]])</f>
        <v>3420</v>
      </c>
      <c r="T293" s="41" t="str">
        <f>TEXT(Sales[order_date], "yyyy-mm")</f>
        <v>2025-10</v>
      </c>
    </row>
    <row r="294" spans="1:20" ht="15" customHeight="1" x14ac:dyDescent="0.25">
      <c r="A294" s="10" t="s">
        <v>480</v>
      </c>
      <c r="B294" s="11">
        <v>45935</v>
      </c>
      <c r="C294" s="10" t="s">
        <v>32</v>
      </c>
      <c r="D294" s="10" t="s">
        <v>33</v>
      </c>
      <c r="E294" s="10" t="s">
        <v>45</v>
      </c>
      <c r="F294" s="10" t="s">
        <v>72</v>
      </c>
      <c r="G294" s="10" t="s">
        <v>47</v>
      </c>
      <c r="H294" s="10">
        <v>10</v>
      </c>
      <c r="I294" s="10">
        <v>46000</v>
      </c>
      <c r="J294" s="10">
        <v>39000</v>
      </c>
      <c r="K294" s="12">
        <v>0</v>
      </c>
      <c r="L294" s="10">
        <v>7</v>
      </c>
      <c r="M294" s="28" t="s">
        <v>334</v>
      </c>
      <c r="N294" s="29">
        <f>_xlfn.IFNA(VLOOKUP(Sales[customer_id],Cust[],11,FALSE),"Unknown")</f>
        <v>100000</v>
      </c>
      <c r="O294" s="29" t="str">
        <f>_xlfn.IFNA(VLOOKUP(Sales[customer_id], Cust[], 7,FALSE),"Unknown customer")</f>
        <v>Lagos</v>
      </c>
      <c r="P294" s="29" t="str">
        <f>_xlfn.IFNA(VLOOKUP(Sales[[#This Row],[customer_id]],Cust[],4, FALSE),"Unknown customer")</f>
        <v>Yemi Sanni</v>
      </c>
      <c r="Q294" s="29" t="str">
        <f>_xlfn.IFNA(VLOOKUP(Sales[[#This Row],[customer_id]], Cust[], 10, FALSE), "Unknown customer")</f>
        <v>Wholesale</v>
      </c>
      <c r="R294" s="29">
        <f>SUM(Sales[quantity]*Sales[[#This Row],[unit_price_ngn]]*(1-Sales[[#This Row],[discount_pct]]))</f>
        <v>460000</v>
      </c>
      <c r="S294" s="29">
        <f>Sales[[#This Row],[revenue]]-(Sales[[#This Row],[quantity]]*Sales[[#This Row],[unit_cost_ngn]])</f>
        <v>70000</v>
      </c>
      <c r="T294" s="41" t="str">
        <f>TEXT(Sales[order_date], "yyyy-mm")</f>
        <v>2025-10</v>
      </c>
    </row>
    <row r="295" spans="1:20" ht="15" customHeight="1" x14ac:dyDescent="0.25">
      <c r="A295" s="10" t="s">
        <v>488</v>
      </c>
      <c r="B295" s="11">
        <v>45943</v>
      </c>
      <c r="C295" s="10" t="s">
        <v>32</v>
      </c>
      <c r="D295" s="10" t="s">
        <v>83</v>
      </c>
      <c r="E295" s="10" t="s">
        <v>34</v>
      </c>
      <c r="F295" s="10" t="s">
        <v>78</v>
      </c>
      <c r="G295" s="10" t="s">
        <v>36</v>
      </c>
      <c r="H295" s="10">
        <v>2</v>
      </c>
      <c r="I295" s="10">
        <v>22000</v>
      </c>
      <c r="J295" s="10">
        <v>13800</v>
      </c>
      <c r="K295" s="12">
        <v>0.1</v>
      </c>
      <c r="L295" s="10">
        <v>2</v>
      </c>
      <c r="M295" s="28" t="s">
        <v>159</v>
      </c>
      <c r="N295" s="29">
        <f>_xlfn.IFNA(VLOOKUP(Sales[customer_id],Cust[],11,FALSE),"Unknown")</f>
        <v>250000</v>
      </c>
      <c r="O295" s="29" t="str">
        <f>_xlfn.IFNA(VLOOKUP(Sales[customer_id], Cust[], 7,FALSE),"Unknown customer")</f>
        <v>Lagos</v>
      </c>
      <c r="P295" s="29" t="str">
        <f>_xlfn.IFNA(VLOOKUP(Sales[[#This Row],[customer_id]],Cust[],4, FALSE),"Unknown customer")</f>
        <v>Temitope Okonkwo</v>
      </c>
      <c r="Q295" s="29" t="str">
        <f>_xlfn.IFNA(VLOOKUP(Sales[[#This Row],[customer_id]], Cust[], 10, FALSE), "Unknown customer")</f>
        <v>Wholesale</v>
      </c>
      <c r="R295" s="29">
        <f>SUM(Sales[quantity]*Sales[[#This Row],[unit_price_ngn]]*(1-Sales[[#This Row],[discount_pct]]))</f>
        <v>39600</v>
      </c>
      <c r="S295" s="29">
        <f>Sales[[#This Row],[revenue]]-(Sales[[#This Row],[quantity]]*Sales[[#This Row],[unit_cost_ngn]])</f>
        <v>12000</v>
      </c>
      <c r="T295" s="41" t="str">
        <f>TEXT(Sales[order_date], "yyyy-mm")</f>
        <v>2025-10</v>
      </c>
    </row>
    <row r="296" spans="1:20" ht="15" customHeight="1" x14ac:dyDescent="0.25">
      <c r="A296" s="10" t="s">
        <v>490</v>
      </c>
      <c r="B296" s="11">
        <v>45944</v>
      </c>
      <c r="C296" s="10" t="s">
        <v>32</v>
      </c>
      <c r="D296" s="10" t="s">
        <v>83</v>
      </c>
      <c r="E296" s="10" t="s">
        <v>75</v>
      </c>
      <c r="F296" s="10" t="s">
        <v>78</v>
      </c>
      <c r="G296" s="10" t="s">
        <v>36</v>
      </c>
      <c r="H296" s="10">
        <v>5</v>
      </c>
      <c r="I296" s="10">
        <v>22000</v>
      </c>
      <c r="J296" s="10">
        <v>13800</v>
      </c>
      <c r="K296" s="12">
        <v>0</v>
      </c>
      <c r="L296" s="10">
        <v>4</v>
      </c>
      <c r="M296" s="28" t="s">
        <v>248</v>
      </c>
      <c r="N296" s="29">
        <f>_xlfn.IFNA(VLOOKUP(Sales[customer_id],Cust[],11,FALSE),"Unknown")</f>
        <v>500000</v>
      </c>
      <c r="O296" s="29" t="str">
        <f>_xlfn.IFNA(VLOOKUP(Sales[customer_id], Cust[], 7,FALSE),"Unknown customer")</f>
        <v>Lagos</v>
      </c>
      <c r="P296" s="29" t="str">
        <f>_xlfn.IFNA(VLOOKUP(Sales[[#This Row],[customer_id]],Cust[],4, FALSE),"Unknown customer")</f>
        <v>Zainab Sanni</v>
      </c>
      <c r="Q296" s="29" t="str">
        <f>_xlfn.IFNA(VLOOKUP(Sales[[#This Row],[customer_id]], Cust[], 10, FALSE), "Unknown customer")</f>
        <v>Retail</v>
      </c>
      <c r="R296" s="29">
        <f>SUM(Sales[quantity]*Sales[[#This Row],[unit_price_ngn]]*(1-Sales[[#This Row],[discount_pct]]))</f>
        <v>110000</v>
      </c>
      <c r="S296" s="29">
        <f>Sales[[#This Row],[revenue]]-(Sales[[#This Row],[quantity]]*Sales[[#This Row],[unit_cost_ngn]])</f>
        <v>41000</v>
      </c>
      <c r="T296" s="41" t="str">
        <f>TEXT(Sales[order_date], "yyyy-mm")</f>
        <v>2025-10</v>
      </c>
    </row>
    <row r="297" spans="1:20" ht="15" customHeight="1" x14ac:dyDescent="0.25">
      <c r="A297" s="10" t="s">
        <v>492</v>
      </c>
      <c r="B297" s="11">
        <v>45946</v>
      </c>
      <c r="C297" s="10" t="s">
        <v>32</v>
      </c>
      <c r="D297" s="10" t="s">
        <v>83</v>
      </c>
      <c r="E297" s="10" t="s">
        <v>34</v>
      </c>
      <c r="F297" s="10" t="s">
        <v>46</v>
      </c>
      <c r="G297" s="10" t="s">
        <v>47</v>
      </c>
      <c r="H297" s="10">
        <v>1</v>
      </c>
      <c r="I297" s="10">
        <v>9800</v>
      </c>
      <c r="J297" s="10">
        <v>7600</v>
      </c>
      <c r="K297" s="12">
        <v>0</v>
      </c>
      <c r="L297" s="10">
        <v>2</v>
      </c>
      <c r="M297" s="28" t="s">
        <v>493</v>
      </c>
      <c r="N297" s="29">
        <f>_xlfn.IFNA(VLOOKUP(Sales[customer_id],Cust[],11,FALSE),"Unknown")</f>
        <v>250000</v>
      </c>
      <c r="O297" s="29" t="str">
        <f>_xlfn.IFNA(VLOOKUP(Sales[customer_id], Cust[], 7,FALSE),"Unknown customer")</f>
        <v>Lagos</v>
      </c>
      <c r="P297" s="29" t="str">
        <f>_xlfn.IFNA(VLOOKUP(Sales[[#This Row],[customer_id]],Cust[],4, FALSE),"Unknown customer")</f>
        <v>Adaeze Balogun</v>
      </c>
      <c r="Q297" s="29" t="str">
        <f>_xlfn.IFNA(VLOOKUP(Sales[[#This Row],[customer_id]], Cust[], 10, FALSE), "Unknown customer")</f>
        <v>Wholesale</v>
      </c>
      <c r="R297" s="29">
        <f>SUM(Sales[quantity]*Sales[[#This Row],[unit_price_ngn]]*(1-Sales[[#This Row],[discount_pct]]))</f>
        <v>9800</v>
      </c>
      <c r="S297" s="29">
        <f>Sales[[#This Row],[revenue]]-(Sales[[#This Row],[quantity]]*Sales[[#This Row],[unit_cost_ngn]])</f>
        <v>2200</v>
      </c>
      <c r="T297" s="41" t="str">
        <f>TEXT(Sales[order_date], "yyyy-mm")</f>
        <v>2025-10</v>
      </c>
    </row>
    <row r="298" spans="1:20" ht="15" customHeight="1" x14ac:dyDescent="0.25">
      <c r="A298" s="10" t="s">
        <v>496</v>
      </c>
      <c r="B298" s="11">
        <v>45947</v>
      </c>
      <c r="C298" s="10" t="s">
        <v>32</v>
      </c>
      <c r="D298" s="10" t="s">
        <v>83</v>
      </c>
      <c r="E298" s="10" t="s">
        <v>75</v>
      </c>
      <c r="F298" s="10" t="s">
        <v>69</v>
      </c>
      <c r="G298" s="10" t="s">
        <v>66</v>
      </c>
      <c r="H298" s="10">
        <v>8</v>
      </c>
      <c r="I298" s="10">
        <v>32000</v>
      </c>
      <c r="J298" s="10">
        <v>21000</v>
      </c>
      <c r="K298" s="12">
        <v>0</v>
      </c>
      <c r="L298" s="10">
        <v>2</v>
      </c>
      <c r="M298" s="28" t="s">
        <v>242</v>
      </c>
      <c r="N298" s="29">
        <f>_xlfn.IFNA(VLOOKUP(Sales[customer_id],Cust[],11,FALSE),"Unknown")</f>
        <v>500000</v>
      </c>
      <c r="O298" s="29" t="str">
        <f>_xlfn.IFNA(VLOOKUP(Sales[customer_id], Cust[], 7,FALSE),"Unknown customer")</f>
        <v>Lagos</v>
      </c>
      <c r="P298" s="29" t="str">
        <f>_xlfn.IFNA(VLOOKUP(Sales[[#This Row],[customer_id]],Cust[],4, FALSE),"Unknown customer")</f>
        <v>Ifeoma Adebayo</v>
      </c>
      <c r="Q298" s="29" t="str">
        <f>_xlfn.IFNA(VLOOKUP(Sales[[#This Row],[customer_id]], Cust[], 10, FALSE), "Unknown customer")</f>
        <v>Wholesale</v>
      </c>
      <c r="R298" s="29">
        <f>SUM(Sales[quantity]*Sales[[#This Row],[unit_price_ngn]]*(1-Sales[[#This Row],[discount_pct]]))</f>
        <v>256000</v>
      </c>
      <c r="S298" s="29">
        <f>Sales[[#This Row],[revenue]]-(Sales[[#This Row],[quantity]]*Sales[[#This Row],[unit_cost_ngn]])</f>
        <v>88000</v>
      </c>
      <c r="T298" s="41" t="str">
        <f>TEXT(Sales[order_date], "yyyy-mm")</f>
        <v>2025-10</v>
      </c>
    </row>
    <row r="299" spans="1:20" ht="15" customHeight="1" x14ac:dyDescent="0.25">
      <c r="A299" s="10" t="s">
        <v>499</v>
      </c>
      <c r="B299" s="11">
        <v>45947</v>
      </c>
      <c r="C299" s="10" t="s">
        <v>32</v>
      </c>
      <c r="D299" s="10" t="s">
        <v>83</v>
      </c>
      <c r="E299" s="10" t="s">
        <v>75</v>
      </c>
      <c r="F299" s="10" t="s">
        <v>69</v>
      </c>
      <c r="G299" s="10" t="s">
        <v>66</v>
      </c>
      <c r="H299" s="10">
        <v>5</v>
      </c>
      <c r="I299" s="10">
        <v>32000</v>
      </c>
      <c r="J299" s="10">
        <v>21000</v>
      </c>
      <c r="K299" s="12">
        <v>0</v>
      </c>
      <c r="L299" s="10">
        <v>1</v>
      </c>
      <c r="M299" s="28" t="s">
        <v>500</v>
      </c>
      <c r="N299" s="29">
        <f>_xlfn.IFNA(VLOOKUP(Sales[customer_id],Cust[],11,FALSE),"Unknown")</f>
        <v>500000</v>
      </c>
      <c r="O299" s="29" t="str">
        <f>_xlfn.IFNA(VLOOKUP(Sales[customer_id], Cust[], 7,FALSE),"Unknown customer")</f>
        <v>Lagos</v>
      </c>
      <c r="P299" s="29" t="str">
        <f>_xlfn.IFNA(VLOOKUP(Sales[[#This Row],[customer_id]],Cust[],4, FALSE),"Unknown customer")</f>
        <v>Uche Nwachukwu</v>
      </c>
      <c r="Q299" s="29" t="str">
        <f>_xlfn.IFNA(VLOOKUP(Sales[[#This Row],[customer_id]], Cust[], 10, FALSE), "Unknown customer")</f>
        <v>Corporate</v>
      </c>
      <c r="R299" s="29">
        <f>SUM(Sales[quantity]*Sales[[#This Row],[unit_price_ngn]]*(1-Sales[[#This Row],[discount_pct]]))</f>
        <v>160000</v>
      </c>
      <c r="S299" s="29">
        <f>Sales[[#This Row],[revenue]]-(Sales[[#This Row],[quantity]]*Sales[[#This Row],[unit_cost_ngn]])</f>
        <v>55000</v>
      </c>
      <c r="T299" s="41" t="str">
        <f>TEXT(Sales[order_date], "yyyy-mm")</f>
        <v>2025-10</v>
      </c>
    </row>
    <row r="300" spans="1:20" ht="15" customHeight="1" x14ac:dyDescent="0.25">
      <c r="A300" s="10" t="s">
        <v>502</v>
      </c>
      <c r="B300" s="11">
        <v>45952</v>
      </c>
      <c r="C300" s="10" t="s">
        <v>32</v>
      </c>
      <c r="D300" s="10" t="s">
        <v>83</v>
      </c>
      <c r="E300" s="10" t="s">
        <v>56</v>
      </c>
      <c r="F300" s="10" t="s">
        <v>60</v>
      </c>
      <c r="G300" s="10" t="s">
        <v>61</v>
      </c>
      <c r="H300" s="10">
        <v>2</v>
      </c>
      <c r="I300" s="10">
        <v>12000</v>
      </c>
      <c r="J300" s="10">
        <v>7200</v>
      </c>
      <c r="K300" s="12">
        <v>0</v>
      </c>
      <c r="L300" s="10">
        <v>3</v>
      </c>
      <c r="M300" s="28" t="s">
        <v>344</v>
      </c>
      <c r="N300" s="29">
        <f>_xlfn.IFNA(VLOOKUP(Sales[customer_id],Cust[],11,FALSE),"Unknown")</f>
        <v>500000</v>
      </c>
      <c r="O300" s="29" t="str">
        <f>_xlfn.IFNA(VLOOKUP(Sales[customer_id], Cust[], 7,FALSE),"Unknown customer")</f>
        <v>Lagos</v>
      </c>
      <c r="P300" s="29" t="str">
        <f>_xlfn.IFNA(VLOOKUP(Sales[[#This Row],[customer_id]],Cust[],4, FALSE),"Unknown customer")</f>
        <v>Nneka Iheanacho</v>
      </c>
      <c r="Q300" s="29" t="str">
        <f>_xlfn.IFNA(VLOOKUP(Sales[[#This Row],[customer_id]], Cust[], 10, FALSE), "Unknown customer")</f>
        <v>Retail</v>
      </c>
      <c r="R300" s="29">
        <f>SUM(Sales[quantity]*Sales[[#This Row],[unit_price_ngn]]*(1-Sales[[#This Row],[discount_pct]]))</f>
        <v>24000</v>
      </c>
      <c r="S300" s="29">
        <f>Sales[[#This Row],[revenue]]-(Sales[[#This Row],[quantity]]*Sales[[#This Row],[unit_cost_ngn]])</f>
        <v>9600</v>
      </c>
      <c r="T300" s="41" t="str">
        <f>TEXT(Sales[order_date], "yyyy-mm")</f>
        <v>2025-10</v>
      </c>
    </row>
    <row r="301" spans="1:20" ht="15" customHeight="1" x14ac:dyDescent="0.25">
      <c r="A301" s="10" t="s">
        <v>503</v>
      </c>
      <c r="B301" s="11">
        <v>45952</v>
      </c>
      <c r="C301" s="10" t="s">
        <v>32</v>
      </c>
      <c r="D301" s="10" t="s">
        <v>33</v>
      </c>
      <c r="E301" s="10" t="s">
        <v>45</v>
      </c>
      <c r="F301" s="10" t="s">
        <v>60</v>
      </c>
      <c r="G301" s="10" t="s">
        <v>61</v>
      </c>
      <c r="H301" s="10">
        <v>2</v>
      </c>
      <c r="I301" s="10">
        <v>12000</v>
      </c>
      <c r="J301" s="10">
        <v>7200</v>
      </c>
      <c r="K301" s="12">
        <v>0</v>
      </c>
      <c r="L301" s="10">
        <v>2</v>
      </c>
      <c r="M301" s="28" t="s">
        <v>121</v>
      </c>
      <c r="N301" s="29">
        <f>_xlfn.IFNA(VLOOKUP(Sales[customer_id],Cust[],11,FALSE),"Unknown")</f>
        <v>50000</v>
      </c>
      <c r="O301" s="29" t="str">
        <f>_xlfn.IFNA(VLOOKUP(Sales[customer_id], Cust[], 7,FALSE),"Unknown customer")</f>
        <v>Lagos</v>
      </c>
      <c r="P301" s="29" t="str">
        <f>_xlfn.IFNA(VLOOKUP(Sales[[#This Row],[customer_id]],Cust[],4, FALSE),"Unknown customer")</f>
        <v>Lanre Balogun</v>
      </c>
      <c r="Q301" s="29" t="str">
        <f>_xlfn.IFNA(VLOOKUP(Sales[[#This Row],[customer_id]], Cust[], 10, FALSE), "Unknown customer")</f>
        <v>Retail</v>
      </c>
      <c r="R301" s="29">
        <f>SUM(Sales[quantity]*Sales[[#This Row],[unit_price_ngn]]*(1-Sales[[#This Row],[discount_pct]]))</f>
        <v>24000</v>
      </c>
      <c r="S301" s="29">
        <f>Sales[[#This Row],[revenue]]-(Sales[[#This Row],[quantity]]*Sales[[#This Row],[unit_cost_ngn]])</f>
        <v>9600</v>
      </c>
      <c r="T301" s="41" t="str">
        <f>TEXT(Sales[order_date], "yyyy-mm")</f>
        <v>2025-10</v>
      </c>
    </row>
    <row r="302" spans="1:20" ht="15" customHeight="1" x14ac:dyDescent="0.25">
      <c r="A302" s="10" t="s">
        <v>507</v>
      </c>
      <c r="B302" s="11">
        <v>45956</v>
      </c>
      <c r="C302" s="10" t="s">
        <v>32</v>
      </c>
      <c r="D302" s="10" t="s">
        <v>83</v>
      </c>
      <c r="E302" s="10" t="s">
        <v>34</v>
      </c>
      <c r="F302" s="10" t="s">
        <v>46</v>
      </c>
      <c r="G302" s="10" t="s">
        <v>47</v>
      </c>
      <c r="H302" s="10">
        <v>5</v>
      </c>
      <c r="I302" s="10">
        <v>9800</v>
      </c>
      <c r="J302" s="10">
        <v>7600</v>
      </c>
      <c r="K302" s="12">
        <v>0</v>
      </c>
      <c r="L302" s="10">
        <v>2</v>
      </c>
      <c r="M302" s="28" t="s">
        <v>256</v>
      </c>
      <c r="N302" s="29">
        <f>_xlfn.IFNA(VLOOKUP(Sales[customer_id],Cust[],11,FALSE),"Unknown")</f>
        <v>150000</v>
      </c>
      <c r="O302" s="29" t="str">
        <f>_xlfn.IFNA(VLOOKUP(Sales[customer_id], Cust[], 7,FALSE),"Unknown customer")</f>
        <v>Lagos</v>
      </c>
      <c r="P302" s="29" t="str">
        <f>_xlfn.IFNA(VLOOKUP(Sales[[#This Row],[customer_id]],Cust[],4, FALSE),"Unknown customer")</f>
        <v>Emeka Balogun</v>
      </c>
      <c r="Q302" s="29" t="str">
        <f>_xlfn.IFNA(VLOOKUP(Sales[[#This Row],[customer_id]], Cust[], 10, FALSE), "Unknown customer")</f>
        <v>Wholesale</v>
      </c>
      <c r="R302" s="29">
        <f>SUM(Sales[quantity]*Sales[[#This Row],[unit_price_ngn]]*(1-Sales[[#This Row],[discount_pct]]))</f>
        <v>49000</v>
      </c>
      <c r="S302" s="29">
        <f>Sales[[#This Row],[revenue]]-(Sales[[#This Row],[quantity]]*Sales[[#This Row],[unit_cost_ngn]])</f>
        <v>11000</v>
      </c>
      <c r="T302" s="41" t="str">
        <f>TEXT(Sales[order_date], "yyyy-mm")</f>
        <v>2025-10</v>
      </c>
    </row>
    <row r="303" spans="1:20" ht="15" customHeight="1" x14ac:dyDescent="0.25">
      <c r="A303" s="10" t="s">
        <v>510</v>
      </c>
      <c r="B303" s="11">
        <v>45959</v>
      </c>
      <c r="C303" s="10" t="s">
        <v>32</v>
      </c>
      <c r="D303" s="10" t="s">
        <v>33</v>
      </c>
      <c r="E303" s="10" t="s">
        <v>75</v>
      </c>
      <c r="F303" s="10" t="s">
        <v>72</v>
      </c>
      <c r="G303" s="10" t="s">
        <v>47</v>
      </c>
      <c r="H303" s="10">
        <v>3</v>
      </c>
      <c r="I303" s="10">
        <v>46000</v>
      </c>
      <c r="J303" s="10">
        <v>39000</v>
      </c>
      <c r="K303" s="12">
        <v>0</v>
      </c>
      <c r="L303" s="10">
        <v>4</v>
      </c>
      <c r="M303" s="28" t="s">
        <v>344</v>
      </c>
      <c r="N303" s="29">
        <f>_xlfn.IFNA(VLOOKUP(Sales[customer_id],Cust[],11,FALSE),"Unknown")</f>
        <v>500000</v>
      </c>
      <c r="O303" s="29" t="str">
        <f>_xlfn.IFNA(VLOOKUP(Sales[customer_id], Cust[], 7,FALSE),"Unknown customer")</f>
        <v>Lagos</v>
      </c>
      <c r="P303" s="29" t="str">
        <f>_xlfn.IFNA(VLOOKUP(Sales[[#This Row],[customer_id]],Cust[],4, FALSE),"Unknown customer")</f>
        <v>Nneka Iheanacho</v>
      </c>
      <c r="Q303" s="29" t="str">
        <f>_xlfn.IFNA(VLOOKUP(Sales[[#This Row],[customer_id]], Cust[], 10, FALSE), "Unknown customer")</f>
        <v>Retail</v>
      </c>
      <c r="R303" s="29">
        <f>SUM(Sales[quantity]*Sales[[#This Row],[unit_price_ngn]]*(1-Sales[[#This Row],[discount_pct]]))</f>
        <v>138000</v>
      </c>
      <c r="S303" s="29">
        <f>Sales[[#This Row],[revenue]]-(Sales[[#This Row],[quantity]]*Sales[[#This Row],[unit_cost_ngn]])</f>
        <v>21000</v>
      </c>
      <c r="T303" s="41" t="str">
        <f>TEXT(Sales[order_date], "yyyy-mm")</f>
        <v>2025-10</v>
      </c>
    </row>
    <row r="304" spans="1:20" ht="15" customHeight="1" x14ac:dyDescent="0.25">
      <c r="A304" s="10" t="s">
        <v>515</v>
      </c>
      <c r="B304" s="11">
        <v>45963</v>
      </c>
      <c r="C304" s="10" t="s">
        <v>32</v>
      </c>
      <c r="D304" s="10" t="s">
        <v>33</v>
      </c>
      <c r="E304" s="10" t="s">
        <v>34</v>
      </c>
      <c r="F304" s="10" t="s">
        <v>35</v>
      </c>
      <c r="G304" s="10" t="s">
        <v>36</v>
      </c>
      <c r="H304" s="10">
        <v>3</v>
      </c>
      <c r="I304" s="10">
        <v>18500</v>
      </c>
      <c r="J304" s="10">
        <v>11800</v>
      </c>
      <c r="K304" s="12">
        <v>0</v>
      </c>
      <c r="L304" s="10">
        <v>5</v>
      </c>
      <c r="M304" s="28" t="s">
        <v>248</v>
      </c>
      <c r="N304" s="29">
        <f>_xlfn.IFNA(VLOOKUP(Sales[customer_id],Cust[],11,FALSE),"Unknown")</f>
        <v>500000</v>
      </c>
      <c r="O304" s="29" t="str">
        <f>_xlfn.IFNA(VLOOKUP(Sales[customer_id], Cust[], 7,FALSE),"Unknown customer")</f>
        <v>Lagos</v>
      </c>
      <c r="P304" s="29" t="str">
        <f>_xlfn.IFNA(VLOOKUP(Sales[[#This Row],[customer_id]],Cust[],4, FALSE),"Unknown customer")</f>
        <v>Zainab Sanni</v>
      </c>
      <c r="Q304" s="29" t="str">
        <f>_xlfn.IFNA(VLOOKUP(Sales[[#This Row],[customer_id]], Cust[], 10, FALSE), "Unknown customer")</f>
        <v>Retail</v>
      </c>
      <c r="R304" s="29">
        <f>SUM(Sales[quantity]*Sales[[#This Row],[unit_price_ngn]]*(1-Sales[[#This Row],[discount_pct]]))</f>
        <v>55500</v>
      </c>
      <c r="S304" s="29">
        <f>Sales[[#This Row],[revenue]]-(Sales[[#This Row],[quantity]]*Sales[[#This Row],[unit_cost_ngn]])</f>
        <v>20100</v>
      </c>
      <c r="T304" s="41" t="str">
        <f>TEXT(Sales[order_date], "yyyy-mm")</f>
        <v>2025-11</v>
      </c>
    </row>
    <row r="305" spans="1:20" ht="15" customHeight="1" x14ac:dyDescent="0.25">
      <c r="A305" s="10" t="s">
        <v>518</v>
      </c>
      <c r="B305" s="11">
        <v>45964</v>
      </c>
      <c r="C305" s="10" t="s">
        <v>32</v>
      </c>
      <c r="D305" s="10" t="s">
        <v>83</v>
      </c>
      <c r="E305" s="10" t="s">
        <v>34</v>
      </c>
      <c r="F305" s="10" t="s">
        <v>101</v>
      </c>
      <c r="G305" s="10" t="s">
        <v>61</v>
      </c>
      <c r="H305" s="10">
        <v>4</v>
      </c>
      <c r="I305" s="10">
        <v>28000</v>
      </c>
      <c r="J305" s="10">
        <v>18500</v>
      </c>
      <c r="K305" s="12">
        <v>0</v>
      </c>
      <c r="L305" s="10">
        <v>1</v>
      </c>
      <c r="M305" s="28" t="s">
        <v>500</v>
      </c>
      <c r="N305" s="29">
        <f>_xlfn.IFNA(VLOOKUP(Sales[customer_id],Cust[],11,FALSE),"Unknown")</f>
        <v>500000</v>
      </c>
      <c r="O305" s="29" t="str">
        <f>_xlfn.IFNA(VLOOKUP(Sales[customer_id], Cust[], 7,FALSE),"Unknown customer")</f>
        <v>Lagos</v>
      </c>
      <c r="P305" s="29" t="str">
        <f>_xlfn.IFNA(VLOOKUP(Sales[[#This Row],[customer_id]],Cust[],4, FALSE),"Unknown customer")</f>
        <v>Uche Nwachukwu</v>
      </c>
      <c r="Q305" s="29" t="str">
        <f>_xlfn.IFNA(VLOOKUP(Sales[[#This Row],[customer_id]], Cust[], 10, FALSE), "Unknown customer")</f>
        <v>Corporate</v>
      </c>
      <c r="R305" s="29">
        <f>SUM(Sales[quantity]*Sales[[#This Row],[unit_price_ngn]]*(1-Sales[[#This Row],[discount_pct]]))</f>
        <v>112000</v>
      </c>
      <c r="S305" s="29">
        <f>Sales[[#This Row],[revenue]]-(Sales[[#This Row],[quantity]]*Sales[[#This Row],[unit_cost_ngn]])</f>
        <v>38000</v>
      </c>
      <c r="T305" s="41" t="str">
        <f>TEXT(Sales[order_date], "yyyy-mm")</f>
        <v>2025-11</v>
      </c>
    </row>
    <row r="306" spans="1:20" ht="15" customHeight="1" x14ac:dyDescent="0.25">
      <c r="A306" s="10" t="s">
        <v>519</v>
      </c>
      <c r="B306" s="11">
        <v>45965</v>
      </c>
      <c r="C306" s="10" t="s">
        <v>32</v>
      </c>
      <c r="D306" s="10" t="s">
        <v>83</v>
      </c>
      <c r="E306" s="10" t="s">
        <v>45</v>
      </c>
      <c r="F306" s="10" t="s">
        <v>35</v>
      </c>
      <c r="G306" s="10" t="s">
        <v>36</v>
      </c>
      <c r="H306" s="10">
        <v>1</v>
      </c>
      <c r="I306" s="10">
        <v>18500</v>
      </c>
      <c r="J306" s="10">
        <v>11800</v>
      </c>
      <c r="K306" s="12">
        <v>0</v>
      </c>
      <c r="L306" s="10">
        <v>3</v>
      </c>
      <c r="M306" s="28" t="s">
        <v>282</v>
      </c>
      <c r="N306" s="29">
        <f>_xlfn.IFNA(VLOOKUP(Sales[customer_id],Cust[],11,FALSE),"Unknown")</f>
        <v>250000</v>
      </c>
      <c r="O306" s="29" t="str">
        <f>_xlfn.IFNA(VLOOKUP(Sales[customer_id], Cust[], 7,FALSE),"Unknown customer")</f>
        <v>Lagos</v>
      </c>
      <c r="P306" s="29" t="str">
        <f>_xlfn.IFNA(VLOOKUP(Sales[[#This Row],[customer_id]],Cust[],4, FALSE),"Unknown customer")</f>
        <v>Yemi Musa</v>
      </c>
      <c r="Q306" s="29" t="str">
        <f>_xlfn.IFNA(VLOOKUP(Sales[[#This Row],[customer_id]], Cust[], 10, FALSE), "Unknown customer")</f>
        <v>Retail</v>
      </c>
      <c r="R306" s="29">
        <f>SUM(Sales[quantity]*Sales[[#This Row],[unit_price_ngn]]*(1-Sales[[#This Row],[discount_pct]]))</f>
        <v>18500</v>
      </c>
      <c r="S306" s="29">
        <f>Sales[[#This Row],[revenue]]-(Sales[[#This Row],[quantity]]*Sales[[#This Row],[unit_cost_ngn]])</f>
        <v>6700</v>
      </c>
      <c r="T306" s="41" t="str">
        <f>TEXT(Sales[order_date], "yyyy-mm")</f>
        <v>2025-11</v>
      </c>
    </row>
    <row r="307" spans="1:20" ht="15" customHeight="1" x14ac:dyDescent="0.25">
      <c r="A307" s="10" t="s">
        <v>520</v>
      </c>
      <c r="B307" s="11">
        <v>45965</v>
      </c>
      <c r="C307" s="10" t="s">
        <v>32</v>
      </c>
      <c r="D307" s="10" t="s">
        <v>33</v>
      </c>
      <c r="E307" s="10" t="s">
        <v>34</v>
      </c>
      <c r="F307" s="10" t="s">
        <v>50</v>
      </c>
      <c r="G307" s="10" t="s">
        <v>51</v>
      </c>
      <c r="H307" s="10">
        <v>6</v>
      </c>
      <c r="I307" s="10">
        <v>41000</v>
      </c>
      <c r="J307" s="10">
        <v>25000</v>
      </c>
      <c r="K307" s="12">
        <v>0</v>
      </c>
      <c r="L307" s="10">
        <v>7</v>
      </c>
      <c r="M307" s="28" t="s">
        <v>231</v>
      </c>
      <c r="N307" s="29">
        <f>_xlfn.IFNA(VLOOKUP(Sales[customer_id],Cust[],11,FALSE),"Unknown")</f>
        <v>100000</v>
      </c>
      <c r="O307" s="29" t="str">
        <f>_xlfn.IFNA(VLOOKUP(Sales[customer_id], Cust[], 7,FALSE),"Unknown customer")</f>
        <v>Lagos</v>
      </c>
      <c r="P307" s="29" t="str">
        <f>_xlfn.IFNA(VLOOKUP(Sales[[#This Row],[customer_id]],Cust[],4, FALSE),"Unknown customer")</f>
        <v>Chidi Nnamdi</v>
      </c>
      <c r="Q307" s="29" t="str">
        <f>_xlfn.IFNA(VLOOKUP(Sales[[#This Row],[customer_id]], Cust[], 10, FALSE), "Unknown customer")</f>
        <v>Wholesale</v>
      </c>
      <c r="R307" s="29">
        <f>SUM(Sales[quantity]*Sales[[#This Row],[unit_price_ngn]]*(1-Sales[[#This Row],[discount_pct]]))</f>
        <v>246000</v>
      </c>
      <c r="S307" s="29">
        <f>Sales[[#This Row],[revenue]]-(Sales[[#This Row],[quantity]]*Sales[[#This Row],[unit_cost_ngn]])</f>
        <v>96000</v>
      </c>
      <c r="T307" s="41" t="str">
        <f>TEXT(Sales[order_date], "yyyy-mm")</f>
        <v>2025-11</v>
      </c>
    </row>
    <row r="308" spans="1:20" ht="15" customHeight="1" x14ac:dyDescent="0.25">
      <c r="A308" s="10" t="s">
        <v>530</v>
      </c>
      <c r="B308" s="11">
        <v>45977</v>
      </c>
      <c r="C308" s="10" t="s">
        <v>32</v>
      </c>
      <c r="D308" s="10" t="s">
        <v>83</v>
      </c>
      <c r="E308" s="10" t="s">
        <v>45</v>
      </c>
      <c r="F308" s="10" t="s">
        <v>60</v>
      </c>
      <c r="G308" s="10" t="s">
        <v>61</v>
      </c>
      <c r="H308" s="10">
        <v>3</v>
      </c>
      <c r="I308" s="10">
        <v>12000</v>
      </c>
      <c r="J308" s="10">
        <v>7200</v>
      </c>
      <c r="K308" s="12">
        <v>0</v>
      </c>
      <c r="L308" s="10">
        <v>2</v>
      </c>
      <c r="M308" s="28" t="s">
        <v>138</v>
      </c>
      <c r="N308" s="29">
        <f>_xlfn.IFNA(VLOOKUP(Sales[customer_id],Cust[],11,FALSE),"Unknown")</f>
        <v>250000</v>
      </c>
      <c r="O308" s="29" t="str">
        <f>_xlfn.IFNA(VLOOKUP(Sales[customer_id], Cust[], 7,FALSE),"Unknown customer")</f>
        <v>Lagos</v>
      </c>
      <c r="P308" s="29" t="str">
        <f>_xlfn.IFNA(VLOOKUP(Sales[[#This Row],[customer_id]],Cust[],4, FALSE),"Unknown customer")</f>
        <v>Kelechi Balogun</v>
      </c>
      <c r="Q308" s="29" t="str">
        <f>_xlfn.IFNA(VLOOKUP(Sales[[#This Row],[customer_id]], Cust[], 10, FALSE), "Unknown customer")</f>
        <v>Retail</v>
      </c>
      <c r="R308" s="29">
        <f>SUM(Sales[quantity]*Sales[[#This Row],[unit_price_ngn]]*(1-Sales[[#This Row],[discount_pct]]))</f>
        <v>36000</v>
      </c>
      <c r="S308" s="29">
        <f>Sales[[#This Row],[revenue]]-(Sales[[#This Row],[quantity]]*Sales[[#This Row],[unit_cost_ngn]])</f>
        <v>14400</v>
      </c>
      <c r="T308" s="41" t="str">
        <f>TEXT(Sales[order_date], "yyyy-mm")</f>
        <v>2025-11</v>
      </c>
    </row>
    <row r="309" spans="1:20" ht="15" customHeight="1" x14ac:dyDescent="0.25">
      <c r="A309" s="10" t="s">
        <v>532</v>
      </c>
      <c r="B309" s="11">
        <v>45978</v>
      </c>
      <c r="C309" s="10" t="s">
        <v>32</v>
      </c>
      <c r="D309" s="10" t="s">
        <v>83</v>
      </c>
      <c r="E309" s="10" t="s">
        <v>45</v>
      </c>
      <c r="F309" s="10" t="s">
        <v>57</v>
      </c>
      <c r="G309" s="10" t="s">
        <v>51</v>
      </c>
      <c r="H309" s="10">
        <v>7</v>
      </c>
      <c r="I309" s="10">
        <v>27500</v>
      </c>
      <c r="J309" s="10">
        <v>16500</v>
      </c>
      <c r="K309" s="12">
        <v>0</v>
      </c>
      <c r="L309" s="10">
        <v>3</v>
      </c>
      <c r="M309" s="28" t="s">
        <v>251</v>
      </c>
      <c r="N309" s="29">
        <f>_xlfn.IFNA(VLOOKUP(Sales[customer_id],Cust[],11,FALSE),"Unknown")</f>
        <v>250000</v>
      </c>
      <c r="O309" s="29" t="str">
        <f>_xlfn.IFNA(VLOOKUP(Sales[customer_id], Cust[], 7,FALSE),"Unknown customer")</f>
        <v>Lagos</v>
      </c>
      <c r="P309" s="29" t="str">
        <f>_xlfn.IFNA(VLOOKUP(Sales[[#This Row],[customer_id]],Cust[],4, FALSE),"Unknown customer")</f>
        <v>Kelechi Adeyemi</v>
      </c>
      <c r="Q309" s="29" t="str">
        <f>_xlfn.IFNA(VLOOKUP(Sales[[#This Row],[customer_id]], Cust[], 10, FALSE), "Unknown customer")</f>
        <v>Retail</v>
      </c>
      <c r="R309" s="29">
        <f>SUM(Sales[quantity]*Sales[[#This Row],[unit_price_ngn]]*(1-Sales[[#This Row],[discount_pct]]))</f>
        <v>192500</v>
      </c>
      <c r="S309" s="29">
        <f>Sales[[#This Row],[revenue]]-(Sales[[#This Row],[quantity]]*Sales[[#This Row],[unit_cost_ngn]])</f>
        <v>77000</v>
      </c>
      <c r="T309" s="41" t="str">
        <f>TEXT(Sales[order_date], "yyyy-mm")</f>
        <v>2025-11</v>
      </c>
    </row>
    <row r="310" spans="1:20" ht="15" customHeight="1" x14ac:dyDescent="0.25">
      <c r="A310" s="10" t="s">
        <v>533</v>
      </c>
      <c r="B310" s="11">
        <v>45979</v>
      </c>
      <c r="C310" s="10" t="s">
        <v>32</v>
      </c>
      <c r="D310" s="10" t="s">
        <v>33</v>
      </c>
      <c r="E310" s="10" t="s">
        <v>45</v>
      </c>
      <c r="F310" s="10" t="s">
        <v>46</v>
      </c>
      <c r="G310" s="10" t="s">
        <v>47</v>
      </c>
      <c r="H310" s="10">
        <v>2</v>
      </c>
      <c r="I310" s="10">
        <v>9800</v>
      </c>
      <c r="J310" s="10">
        <v>7600</v>
      </c>
      <c r="K310" s="12">
        <v>0.05</v>
      </c>
      <c r="L310" s="10">
        <v>2</v>
      </c>
      <c r="M310" s="28" t="s">
        <v>113</v>
      </c>
      <c r="N310" s="29">
        <f>_xlfn.IFNA(VLOOKUP(Sales[customer_id],Cust[],11,FALSE),"Unknown")</f>
        <v>50000</v>
      </c>
      <c r="O310" s="29" t="str">
        <f>_xlfn.IFNA(VLOOKUP(Sales[customer_id], Cust[], 7,FALSE),"Unknown customer")</f>
        <v>Lagos</v>
      </c>
      <c r="P310" s="29" t="str">
        <f>_xlfn.IFNA(VLOOKUP(Sales[[#This Row],[customer_id]],Cust[],4, FALSE),"Unknown customer")</f>
        <v>Obinna Umeh</v>
      </c>
      <c r="Q310" s="29" t="str">
        <f>_xlfn.IFNA(VLOOKUP(Sales[[#This Row],[customer_id]], Cust[], 10, FALSE), "Unknown customer")</f>
        <v>Retail</v>
      </c>
      <c r="R310" s="29">
        <f>SUM(Sales[quantity]*Sales[[#This Row],[unit_price_ngn]]*(1-Sales[[#This Row],[discount_pct]]))</f>
        <v>18620</v>
      </c>
      <c r="S310" s="29">
        <f>Sales[[#This Row],[revenue]]-(Sales[[#This Row],[quantity]]*Sales[[#This Row],[unit_cost_ngn]])</f>
        <v>3420</v>
      </c>
      <c r="T310" s="41" t="str">
        <f>TEXT(Sales[order_date], "yyyy-mm")</f>
        <v>2025-11</v>
      </c>
    </row>
    <row r="311" spans="1:20" ht="15" customHeight="1" x14ac:dyDescent="0.25">
      <c r="A311" s="10" t="s">
        <v>534</v>
      </c>
      <c r="B311" s="11">
        <v>45979</v>
      </c>
      <c r="C311" s="10" t="s">
        <v>32</v>
      </c>
      <c r="D311" s="10" t="s">
        <v>33</v>
      </c>
      <c r="E311" s="10" t="s">
        <v>34</v>
      </c>
      <c r="F311" s="10" t="s">
        <v>35</v>
      </c>
      <c r="G311" s="10" t="s">
        <v>36</v>
      </c>
      <c r="H311" s="10">
        <v>4</v>
      </c>
      <c r="I311" s="10">
        <v>18500</v>
      </c>
      <c r="J311" s="10">
        <v>11800</v>
      </c>
      <c r="K311" s="12">
        <v>0</v>
      </c>
      <c r="L311" s="10">
        <v>10</v>
      </c>
      <c r="M311" s="28" t="s">
        <v>174</v>
      </c>
      <c r="N311" s="29">
        <f>_xlfn.IFNA(VLOOKUP(Sales[customer_id],Cust[],11,FALSE),"Unknown")</f>
        <v>500000</v>
      </c>
      <c r="O311" s="29" t="str">
        <f>_xlfn.IFNA(VLOOKUP(Sales[customer_id], Cust[], 7,FALSE),"Unknown customer")</f>
        <v>Lagos</v>
      </c>
      <c r="P311" s="29" t="str">
        <f>_xlfn.IFNA(VLOOKUP(Sales[[#This Row],[customer_id]],Cust[],4, FALSE),"Unknown customer")</f>
        <v>Yemi Ogunleye</v>
      </c>
      <c r="Q311" s="29" t="str">
        <f>_xlfn.IFNA(VLOOKUP(Sales[[#This Row],[customer_id]], Cust[], 10, FALSE), "Unknown customer")</f>
        <v>Retail</v>
      </c>
      <c r="R311" s="29">
        <f>SUM(Sales[quantity]*Sales[[#This Row],[unit_price_ngn]]*(1-Sales[[#This Row],[discount_pct]]))</f>
        <v>74000</v>
      </c>
      <c r="S311" s="29">
        <f>Sales[[#This Row],[revenue]]-(Sales[[#This Row],[quantity]]*Sales[[#This Row],[unit_cost_ngn]])</f>
        <v>26800</v>
      </c>
      <c r="T311" s="41" t="str">
        <f>TEXT(Sales[order_date], "yyyy-mm")</f>
        <v>2025-11</v>
      </c>
    </row>
    <row r="312" spans="1:20" ht="15" customHeight="1" x14ac:dyDescent="0.25">
      <c r="A312" s="10" t="s">
        <v>536</v>
      </c>
      <c r="B312" s="11">
        <v>45980</v>
      </c>
      <c r="C312" s="10" t="s">
        <v>32</v>
      </c>
      <c r="D312" s="10" t="s">
        <v>83</v>
      </c>
      <c r="E312" s="10" t="s">
        <v>56</v>
      </c>
      <c r="F312" s="10" t="s">
        <v>60</v>
      </c>
      <c r="G312" s="10" t="s">
        <v>61</v>
      </c>
      <c r="H312" s="10">
        <v>3</v>
      </c>
      <c r="I312" s="10">
        <v>12000</v>
      </c>
      <c r="J312" s="10">
        <v>7200</v>
      </c>
      <c r="K312" s="12">
        <v>0.05</v>
      </c>
      <c r="L312" s="10">
        <v>4</v>
      </c>
      <c r="M312" s="28" t="s">
        <v>342</v>
      </c>
      <c r="N312" s="29">
        <f>_xlfn.IFNA(VLOOKUP(Sales[customer_id],Cust[],11,FALSE),"Unknown")</f>
        <v>500000</v>
      </c>
      <c r="O312" s="29" t="str">
        <f>_xlfn.IFNA(VLOOKUP(Sales[customer_id], Cust[], 7,FALSE),"Unknown customer")</f>
        <v>Lagos</v>
      </c>
      <c r="P312" s="29" t="str">
        <f>_xlfn.IFNA(VLOOKUP(Sales[[#This Row],[customer_id]],Cust[],4, FALSE),"Unknown customer")</f>
        <v>Nneka Nnamdi</v>
      </c>
      <c r="Q312" s="29" t="str">
        <f>_xlfn.IFNA(VLOOKUP(Sales[[#This Row],[customer_id]], Cust[], 10, FALSE), "Unknown customer")</f>
        <v>Wholesale</v>
      </c>
      <c r="R312" s="29">
        <f>SUM(Sales[quantity]*Sales[[#This Row],[unit_price_ngn]]*(1-Sales[[#This Row],[discount_pct]]))</f>
        <v>34200</v>
      </c>
      <c r="S312" s="29">
        <f>Sales[[#This Row],[revenue]]-(Sales[[#This Row],[quantity]]*Sales[[#This Row],[unit_cost_ngn]])</f>
        <v>12600</v>
      </c>
      <c r="T312" s="41" t="str">
        <f>TEXT(Sales[order_date], "yyyy-mm")</f>
        <v>2025-11</v>
      </c>
    </row>
    <row r="313" spans="1:20" ht="15" customHeight="1" x14ac:dyDescent="0.25">
      <c r="A313" s="10" t="s">
        <v>537</v>
      </c>
      <c r="B313" s="11">
        <v>45980</v>
      </c>
      <c r="C313" s="10" t="s">
        <v>32</v>
      </c>
      <c r="D313" s="10" t="s">
        <v>33</v>
      </c>
      <c r="E313" s="10" t="s">
        <v>45</v>
      </c>
      <c r="F313" s="10" t="s">
        <v>35</v>
      </c>
      <c r="G313" s="10" t="s">
        <v>36</v>
      </c>
      <c r="H313" s="10">
        <v>3</v>
      </c>
      <c r="I313" s="10">
        <v>18500</v>
      </c>
      <c r="J313" s="10">
        <v>11800</v>
      </c>
      <c r="K313" s="12">
        <v>0.05</v>
      </c>
      <c r="L313" s="10">
        <v>2</v>
      </c>
      <c r="M313" s="28" t="s">
        <v>174</v>
      </c>
      <c r="N313" s="29">
        <f>_xlfn.IFNA(VLOOKUP(Sales[customer_id],Cust[],11,FALSE),"Unknown")</f>
        <v>500000</v>
      </c>
      <c r="O313" s="29" t="str">
        <f>_xlfn.IFNA(VLOOKUP(Sales[customer_id], Cust[], 7,FALSE),"Unknown customer")</f>
        <v>Lagos</v>
      </c>
      <c r="P313" s="29" t="str">
        <f>_xlfn.IFNA(VLOOKUP(Sales[[#This Row],[customer_id]],Cust[],4, FALSE),"Unknown customer")</f>
        <v>Yemi Ogunleye</v>
      </c>
      <c r="Q313" s="29" t="str">
        <f>_xlfn.IFNA(VLOOKUP(Sales[[#This Row],[customer_id]], Cust[], 10, FALSE), "Unknown customer")</f>
        <v>Retail</v>
      </c>
      <c r="R313" s="29">
        <f>SUM(Sales[quantity]*Sales[[#This Row],[unit_price_ngn]]*(1-Sales[[#This Row],[discount_pct]]))</f>
        <v>52725</v>
      </c>
      <c r="S313" s="29">
        <f>Sales[[#This Row],[revenue]]-(Sales[[#This Row],[quantity]]*Sales[[#This Row],[unit_cost_ngn]])</f>
        <v>17325</v>
      </c>
      <c r="T313" s="41" t="str">
        <f>TEXT(Sales[order_date], "yyyy-mm")</f>
        <v>2025-11</v>
      </c>
    </row>
    <row r="314" spans="1:20" ht="15" customHeight="1" x14ac:dyDescent="0.25">
      <c r="A314" s="10" t="s">
        <v>538</v>
      </c>
      <c r="B314" s="11">
        <v>45981</v>
      </c>
      <c r="C314" s="10" t="s">
        <v>32</v>
      </c>
      <c r="D314" s="10" t="s">
        <v>33</v>
      </c>
      <c r="E314" s="10" t="s">
        <v>45</v>
      </c>
      <c r="F314" s="10" t="s">
        <v>88</v>
      </c>
      <c r="G314" s="10" t="s">
        <v>89</v>
      </c>
      <c r="H314" s="10">
        <v>6</v>
      </c>
      <c r="I314" s="10">
        <v>6800</v>
      </c>
      <c r="J314" s="10">
        <v>3900</v>
      </c>
      <c r="K314" s="12">
        <v>0</v>
      </c>
      <c r="L314" s="10">
        <v>4</v>
      </c>
      <c r="M314" s="28" t="s">
        <v>404</v>
      </c>
      <c r="N314" s="29">
        <f>_xlfn.IFNA(VLOOKUP(Sales[customer_id],Cust[],11,FALSE),"Unknown")</f>
        <v>250000</v>
      </c>
      <c r="O314" s="29" t="str">
        <f>_xlfn.IFNA(VLOOKUP(Sales[customer_id], Cust[], 7,FALSE),"Unknown customer")</f>
        <v>Lagos</v>
      </c>
      <c r="P314" s="29" t="str">
        <f>_xlfn.IFNA(VLOOKUP(Sales[[#This Row],[customer_id]],Cust[],4, FALSE),"Unknown customer")</f>
        <v>Amaka Balogun</v>
      </c>
      <c r="Q314" s="29" t="str">
        <f>_xlfn.IFNA(VLOOKUP(Sales[[#This Row],[customer_id]], Cust[], 10, FALSE), "Unknown customer")</f>
        <v>Corporate</v>
      </c>
      <c r="R314" s="29">
        <f>SUM(Sales[quantity]*Sales[[#This Row],[unit_price_ngn]]*(1-Sales[[#This Row],[discount_pct]]))</f>
        <v>40800</v>
      </c>
      <c r="S314" s="29">
        <f>Sales[[#This Row],[revenue]]-(Sales[[#This Row],[quantity]]*Sales[[#This Row],[unit_cost_ngn]])</f>
        <v>17400</v>
      </c>
      <c r="T314" s="41" t="str">
        <f>TEXT(Sales[order_date], "yyyy-mm")</f>
        <v>2025-11</v>
      </c>
    </row>
    <row r="315" spans="1:20" ht="15" customHeight="1" x14ac:dyDescent="0.25">
      <c r="A315" s="10" t="s">
        <v>540</v>
      </c>
      <c r="B315" s="11">
        <v>45983</v>
      </c>
      <c r="C315" s="10" t="s">
        <v>32</v>
      </c>
      <c r="D315" s="10" t="s">
        <v>83</v>
      </c>
      <c r="E315" s="10" t="s">
        <v>34</v>
      </c>
      <c r="F315" s="10" t="s">
        <v>35</v>
      </c>
      <c r="G315" s="10" t="s">
        <v>36</v>
      </c>
      <c r="H315" s="10">
        <v>3</v>
      </c>
      <c r="I315" s="10">
        <v>18500</v>
      </c>
      <c r="J315" s="10">
        <v>11800</v>
      </c>
      <c r="K315" s="12">
        <v>0.1</v>
      </c>
      <c r="L315" s="10">
        <v>3</v>
      </c>
      <c r="M315" s="28" t="s">
        <v>272</v>
      </c>
      <c r="N315" s="29">
        <f>_xlfn.IFNA(VLOOKUP(Sales[customer_id],Cust[],11,FALSE),"Unknown")</f>
        <v>50000</v>
      </c>
      <c r="O315" s="29" t="str">
        <f>_xlfn.IFNA(VLOOKUP(Sales[customer_id], Cust[], 7,FALSE),"Unknown customer")</f>
        <v>Lagos</v>
      </c>
      <c r="P315" s="29" t="str">
        <f>_xlfn.IFNA(VLOOKUP(Sales[[#This Row],[customer_id]],Cust[],4, FALSE),"Unknown customer")</f>
        <v>Efe Musa</v>
      </c>
      <c r="Q315" s="29" t="str">
        <f>_xlfn.IFNA(VLOOKUP(Sales[[#This Row],[customer_id]], Cust[], 10, FALSE), "Unknown customer")</f>
        <v>Retail</v>
      </c>
      <c r="R315" s="29">
        <f>SUM(Sales[quantity]*Sales[[#This Row],[unit_price_ngn]]*(1-Sales[[#This Row],[discount_pct]]))</f>
        <v>49950</v>
      </c>
      <c r="S315" s="29">
        <f>Sales[[#This Row],[revenue]]-(Sales[[#This Row],[quantity]]*Sales[[#This Row],[unit_cost_ngn]])</f>
        <v>14550</v>
      </c>
      <c r="T315" s="41" t="str">
        <f>TEXT(Sales[order_date], "yyyy-mm")</f>
        <v>2025-11</v>
      </c>
    </row>
    <row r="316" spans="1:20" ht="15" customHeight="1" x14ac:dyDescent="0.25">
      <c r="A316" s="10" t="s">
        <v>541</v>
      </c>
      <c r="B316" s="11">
        <v>45983</v>
      </c>
      <c r="C316" s="10" t="s">
        <v>32</v>
      </c>
      <c r="D316" s="10" t="s">
        <v>83</v>
      </c>
      <c r="E316" s="10" t="s">
        <v>75</v>
      </c>
      <c r="F316" s="10" t="s">
        <v>65</v>
      </c>
      <c r="G316" s="10" t="s">
        <v>66</v>
      </c>
      <c r="H316" s="10">
        <v>3</v>
      </c>
      <c r="I316" s="10">
        <v>24000</v>
      </c>
      <c r="J316" s="10">
        <v>14500</v>
      </c>
      <c r="K316" s="12">
        <v>0</v>
      </c>
      <c r="L316" s="10">
        <v>7</v>
      </c>
      <c r="M316" s="28" t="s">
        <v>174</v>
      </c>
      <c r="N316" s="29">
        <f>_xlfn.IFNA(VLOOKUP(Sales[customer_id],Cust[],11,FALSE),"Unknown")</f>
        <v>500000</v>
      </c>
      <c r="O316" s="29" t="str">
        <f>_xlfn.IFNA(VLOOKUP(Sales[customer_id], Cust[], 7,FALSE),"Unknown customer")</f>
        <v>Lagos</v>
      </c>
      <c r="P316" s="29" t="str">
        <f>_xlfn.IFNA(VLOOKUP(Sales[[#This Row],[customer_id]],Cust[],4, FALSE),"Unknown customer")</f>
        <v>Yemi Ogunleye</v>
      </c>
      <c r="Q316" s="29" t="str">
        <f>_xlfn.IFNA(VLOOKUP(Sales[[#This Row],[customer_id]], Cust[], 10, FALSE), "Unknown customer")</f>
        <v>Retail</v>
      </c>
      <c r="R316" s="29">
        <f>SUM(Sales[quantity]*Sales[[#This Row],[unit_price_ngn]]*(1-Sales[[#This Row],[discount_pct]]))</f>
        <v>72000</v>
      </c>
      <c r="S316" s="29">
        <f>Sales[[#This Row],[revenue]]-(Sales[[#This Row],[quantity]]*Sales[[#This Row],[unit_cost_ngn]])</f>
        <v>28500</v>
      </c>
      <c r="T316" s="41" t="str">
        <f>TEXT(Sales[order_date], "yyyy-mm")</f>
        <v>2025-11</v>
      </c>
    </row>
    <row r="317" spans="1:20" ht="15" customHeight="1" x14ac:dyDescent="0.25">
      <c r="A317" s="10" t="s">
        <v>546</v>
      </c>
      <c r="B317" s="11">
        <v>45985</v>
      </c>
      <c r="C317" s="10" t="s">
        <v>32</v>
      </c>
      <c r="D317" s="10" t="s">
        <v>83</v>
      </c>
      <c r="E317" s="10" t="s">
        <v>45</v>
      </c>
      <c r="F317" s="10" t="s">
        <v>88</v>
      </c>
      <c r="G317" s="10" t="s">
        <v>89</v>
      </c>
      <c r="H317" s="10">
        <v>1</v>
      </c>
      <c r="I317" s="10">
        <v>6800</v>
      </c>
      <c r="J317" s="10">
        <v>3900</v>
      </c>
      <c r="K317" s="12">
        <v>0</v>
      </c>
      <c r="L317" s="10">
        <v>4</v>
      </c>
      <c r="M317" s="28" t="s">
        <v>344</v>
      </c>
      <c r="N317" s="29">
        <f>_xlfn.IFNA(VLOOKUP(Sales[customer_id],Cust[],11,FALSE),"Unknown")</f>
        <v>500000</v>
      </c>
      <c r="O317" s="29" t="str">
        <f>_xlfn.IFNA(VLOOKUP(Sales[customer_id], Cust[], 7,FALSE),"Unknown customer")</f>
        <v>Lagos</v>
      </c>
      <c r="P317" s="29" t="str">
        <f>_xlfn.IFNA(VLOOKUP(Sales[[#This Row],[customer_id]],Cust[],4, FALSE),"Unknown customer")</f>
        <v>Nneka Iheanacho</v>
      </c>
      <c r="Q317" s="29" t="str">
        <f>_xlfn.IFNA(VLOOKUP(Sales[[#This Row],[customer_id]], Cust[], 10, FALSE), "Unknown customer")</f>
        <v>Retail</v>
      </c>
      <c r="R317" s="29">
        <f>SUM(Sales[quantity]*Sales[[#This Row],[unit_price_ngn]]*(1-Sales[[#This Row],[discount_pct]]))</f>
        <v>6800</v>
      </c>
      <c r="S317" s="29">
        <f>Sales[[#This Row],[revenue]]-(Sales[[#This Row],[quantity]]*Sales[[#This Row],[unit_cost_ngn]])</f>
        <v>2900</v>
      </c>
      <c r="T317" s="41" t="str">
        <f>TEXT(Sales[order_date], "yyyy-mm")</f>
        <v>2025-11</v>
      </c>
    </row>
    <row r="318" spans="1:20" ht="15" customHeight="1" x14ac:dyDescent="0.25">
      <c r="A318" s="10" t="s">
        <v>547</v>
      </c>
      <c r="B318" s="11">
        <v>45988</v>
      </c>
      <c r="C318" s="10" t="s">
        <v>32</v>
      </c>
      <c r="D318" s="10" t="s">
        <v>83</v>
      </c>
      <c r="E318" s="10" t="s">
        <v>45</v>
      </c>
      <c r="F318" s="10" t="s">
        <v>78</v>
      </c>
      <c r="G318" s="10" t="s">
        <v>36</v>
      </c>
      <c r="H318" s="10">
        <v>3</v>
      </c>
      <c r="I318" s="10">
        <v>22000</v>
      </c>
      <c r="J318" s="10">
        <v>13800</v>
      </c>
      <c r="K318" s="12">
        <v>0</v>
      </c>
      <c r="L318" s="10">
        <v>3</v>
      </c>
      <c r="M318" s="28" t="s">
        <v>282</v>
      </c>
      <c r="N318" s="29">
        <f>_xlfn.IFNA(VLOOKUP(Sales[customer_id],Cust[],11,FALSE),"Unknown")</f>
        <v>250000</v>
      </c>
      <c r="O318" s="29" t="str">
        <f>_xlfn.IFNA(VLOOKUP(Sales[customer_id], Cust[], 7,FALSE),"Unknown customer")</f>
        <v>Lagos</v>
      </c>
      <c r="P318" s="29" t="str">
        <f>_xlfn.IFNA(VLOOKUP(Sales[[#This Row],[customer_id]],Cust[],4, FALSE),"Unknown customer")</f>
        <v>Yemi Musa</v>
      </c>
      <c r="Q318" s="29" t="str">
        <f>_xlfn.IFNA(VLOOKUP(Sales[[#This Row],[customer_id]], Cust[], 10, FALSE), "Unknown customer")</f>
        <v>Retail</v>
      </c>
      <c r="R318" s="29">
        <f>SUM(Sales[quantity]*Sales[[#This Row],[unit_price_ngn]]*(1-Sales[[#This Row],[discount_pct]]))</f>
        <v>66000</v>
      </c>
      <c r="S318" s="29">
        <f>Sales[[#This Row],[revenue]]-(Sales[[#This Row],[quantity]]*Sales[[#This Row],[unit_cost_ngn]])</f>
        <v>24600</v>
      </c>
      <c r="T318" s="41" t="str">
        <f>TEXT(Sales[order_date], "yyyy-mm")</f>
        <v>2025-11</v>
      </c>
    </row>
    <row r="319" spans="1:20" ht="15" customHeight="1" x14ac:dyDescent="0.25">
      <c r="A319" s="10" t="s">
        <v>548</v>
      </c>
      <c r="B319" s="11">
        <v>45988</v>
      </c>
      <c r="C319" s="10" t="s">
        <v>32</v>
      </c>
      <c r="D319" s="10" t="s">
        <v>83</v>
      </c>
      <c r="E319" s="10" t="s">
        <v>75</v>
      </c>
      <c r="F319" s="10" t="s">
        <v>78</v>
      </c>
      <c r="G319" s="10" t="s">
        <v>36</v>
      </c>
      <c r="H319" s="10">
        <v>4</v>
      </c>
      <c r="I319" s="10">
        <v>22000</v>
      </c>
      <c r="J319" s="10">
        <v>13800</v>
      </c>
      <c r="K319" s="12">
        <v>0</v>
      </c>
      <c r="L319" s="10">
        <v>3</v>
      </c>
      <c r="M319" s="28" t="s">
        <v>220</v>
      </c>
      <c r="N319" s="29">
        <f>_xlfn.IFNA(VLOOKUP(Sales[customer_id],Cust[],11,FALSE),"Unknown")</f>
        <v>150000</v>
      </c>
      <c r="O319" s="29" t="str">
        <f>_xlfn.IFNA(VLOOKUP(Sales[customer_id], Cust[], 7,FALSE),"Unknown customer")</f>
        <v>Lagos</v>
      </c>
      <c r="P319" s="29" t="str">
        <f>_xlfn.IFNA(VLOOKUP(Sales[[#This Row],[customer_id]],Cust[],4, FALSE),"Unknown customer")</f>
        <v>Chiamaka Fashola</v>
      </c>
      <c r="Q319" s="29" t="str">
        <f>_xlfn.IFNA(VLOOKUP(Sales[[#This Row],[customer_id]], Cust[], 10, FALSE), "Unknown customer")</f>
        <v>Retail</v>
      </c>
      <c r="R319" s="29">
        <f>SUM(Sales[quantity]*Sales[[#This Row],[unit_price_ngn]]*(1-Sales[[#This Row],[discount_pct]]))</f>
        <v>88000</v>
      </c>
      <c r="S319" s="29">
        <f>Sales[[#This Row],[revenue]]-(Sales[[#This Row],[quantity]]*Sales[[#This Row],[unit_cost_ngn]])</f>
        <v>32800</v>
      </c>
      <c r="T319" s="41" t="str">
        <f>TEXT(Sales[order_date], "yyyy-mm")</f>
        <v>2025-11</v>
      </c>
    </row>
    <row r="320" spans="1:20" ht="15" customHeight="1" x14ac:dyDescent="0.25">
      <c r="A320" s="10" t="s">
        <v>549</v>
      </c>
      <c r="B320" s="11">
        <v>45989</v>
      </c>
      <c r="C320" s="10" t="s">
        <v>32</v>
      </c>
      <c r="D320" s="10" t="s">
        <v>33</v>
      </c>
      <c r="E320" s="10" t="s">
        <v>56</v>
      </c>
      <c r="F320" s="10" t="s">
        <v>35</v>
      </c>
      <c r="G320" s="10" t="s">
        <v>36</v>
      </c>
      <c r="H320" s="10">
        <v>4</v>
      </c>
      <c r="I320" s="10">
        <v>18500</v>
      </c>
      <c r="J320" s="10">
        <v>11800</v>
      </c>
      <c r="K320" s="12">
        <v>0</v>
      </c>
      <c r="L320" s="10">
        <v>3</v>
      </c>
      <c r="M320" s="28" t="s">
        <v>242</v>
      </c>
      <c r="N320" s="29">
        <f>_xlfn.IFNA(VLOOKUP(Sales[customer_id],Cust[],11,FALSE),"Unknown")</f>
        <v>500000</v>
      </c>
      <c r="O320" s="29" t="str">
        <f>_xlfn.IFNA(VLOOKUP(Sales[customer_id], Cust[], 7,FALSE),"Unknown customer")</f>
        <v>Lagos</v>
      </c>
      <c r="P320" s="29" t="str">
        <f>_xlfn.IFNA(VLOOKUP(Sales[[#This Row],[customer_id]],Cust[],4, FALSE),"Unknown customer")</f>
        <v>Ifeoma Adebayo</v>
      </c>
      <c r="Q320" s="29" t="str">
        <f>_xlfn.IFNA(VLOOKUP(Sales[[#This Row],[customer_id]], Cust[], 10, FALSE), "Unknown customer")</f>
        <v>Wholesale</v>
      </c>
      <c r="R320" s="29">
        <f>SUM(Sales[quantity]*Sales[[#This Row],[unit_price_ngn]]*(1-Sales[[#This Row],[discount_pct]]))</f>
        <v>74000</v>
      </c>
      <c r="S320" s="29">
        <f>Sales[[#This Row],[revenue]]-(Sales[[#This Row],[quantity]]*Sales[[#This Row],[unit_cost_ngn]])</f>
        <v>26800</v>
      </c>
      <c r="T320" s="41" t="str">
        <f>TEXT(Sales[order_date], "yyyy-mm")</f>
        <v>2025-11</v>
      </c>
    </row>
    <row r="321" spans="1:20" ht="15" customHeight="1" x14ac:dyDescent="0.25">
      <c r="A321" s="10" t="s">
        <v>553</v>
      </c>
      <c r="B321" s="11">
        <v>45991</v>
      </c>
      <c r="C321" s="10" t="s">
        <v>32</v>
      </c>
      <c r="D321" s="10" t="s">
        <v>33</v>
      </c>
      <c r="E321" s="10" t="s">
        <v>45</v>
      </c>
      <c r="F321" s="10" t="s">
        <v>101</v>
      </c>
      <c r="G321" s="10" t="s">
        <v>61</v>
      </c>
      <c r="H321" s="10">
        <v>3</v>
      </c>
      <c r="I321" s="10">
        <v>28000</v>
      </c>
      <c r="J321" s="10">
        <v>18500</v>
      </c>
      <c r="K321" s="12">
        <v>0</v>
      </c>
      <c r="L321" s="10">
        <v>3</v>
      </c>
      <c r="M321" s="28" t="s">
        <v>293</v>
      </c>
      <c r="N321" s="29">
        <f>_xlfn.IFNA(VLOOKUP(Sales[customer_id],Cust[],11,FALSE),"Unknown")</f>
        <v>150000</v>
      </c>
      <c r="O321" s="29" t="str">
        <f>_xlfn.IFNA(VLOOKUP(Sales[customer_id], Cust[], 7,FALSE),"Unknown customer")</f>
        <v>Lagos</v>
      </c>
      <c r="P321" s="29" t="str">
        <f>_xlfn.IFNA(VLOOKUP(Sales[[#This Row],[customer_id]],Cust[],4, FALSE),"Unknown customer")</f>
        <v>Fatima Peters</v>
      </c>
      <c r="Q321" s="29" t="str">
        <f>_xlfn.IFNA(VLOOKUP(Sales[[#This Row],[customer_id]], Cust[], 10, FALSE), "Unknown customer")</f>
        <v>Wholesale</v>
      </c>
      <c r="R321" s="29">
        <f>SUM(Sales[quantity]*Sales[[#This Row],[unit_price_ngn]]*(1-Sales[[#This Row],[discount_pct]]))</f>
        <v>84000</v>
      </c>
      <c r="S321" s="29">
        <f>Sales[[#This Row],[revenue]]-(Sales[[#This Row],[quantity]]*Sales[[#This Row],[unit_cost_ngn]])</f>
        <v>28500</v>
      </c>
      <c r="T321" s="41" t="str">
        <f>TEXT(Sales[order_date], "yyyy-mm")</f>
        <v>2025-11</v>
      </c>
    </row>
    <row r="322" spans="1:20" ht="15" customHeight="1" x14ac:dyDescent="0.25">
      <c r="A322" s="10" t="s">
        <v>554</v>
      </c>
      <c r="B322" s="11">
        <v>45992</v>
      </c>
      <c r="C322" s="10" t="s">
        <v>32</v>
      </c>
      <c r="D322" s="10" t="s">
        <v>83</v>
      </c>
      <c r="E322" s="10" t="s">
        <v>75</v>
      </c>
      <c r="F322" s="10" t="s">
        <v>57</v>
      </c>
      <c r="G322" s="10" t="s">
        <v>51</v>
      </c>
      <c r="H322" s="10">
        <v>3</v>
      </c>
      <c r="I322" s="10">
        <v>27500</v>
      </c>
      <c r="J322" s="10">
        <v>16500</v>
      </c>
      <c r="K322" s="12">
        <v>0.1</v>
      </c>
      <c r="L322" s="10">
        <v>4</v>
      </c>
      <c r="M322" s="28" t="s">
        <v>344</v>
      </c>
      <c r="N322" s="29">
        <f>_xlfn.IFNA(VLOOKUP(Sales[customer_id],Cust[],11,FALSE),"Unknown")</f>
        <v>500000</v>
      </c>
      <c r="O322" s="29" t="str">
        <f>_xlfn.IFNA(VLOOKUP(Sales[customer_id], Cust[], 7,FALSE),"Unknown customer")</f>
        <v>Lagos</v>
      </c>
      <c r="P322" s="29" t="str">
        <f>_xlfn.IFNA(VLOOKUP(Sales[[#This Row],[customer_id]],Cust[],4, FALSE),"Unknown customer")</f>
        <v>Nneka Iheanacho</v>
      </c>
      <c r="Q322" s="29" t="str">
        <f>_xlfn.IFNA(VLOOKUP(Sales[[#This Row],[customer_id]], Cust[], 10, FALSE), "Unknown customer")</f>
        <v>Retail</v>
      </c>
      <c r="R322" s="29">
        <f>SUM(Sales[quantity]*Sales[[#This Row],[unit_price_ngn]]*(1-Sales[[#This Row],[discount_pct]]))</f>
        <v>74250</v>
      </c>
      <c r="S322" s="29">
        <f>Sales[[#This Row],[revenue]]-(Sales[[#This Row],[quantity]]*Sales[[#This Row],[unit_cost_ngn]])</f>
        <v>24750</v>
      </c>
      <c r="T322" s="41" t="str">
        <f>TEXT(Sales[order_date], "yyyy-mm")</f>
        <v>2025-12</v>
      </c>
    </row>
    <row r="323" spans="1:20" ht="15" customHeight="1" x14ac:dyDescent="0.25">
      <c r="A323" s="10" t="s">
        <v>558</v>
      </c>
      <c r="B323" s="11">
        <v>45994</v>
      </c>
      <c r="C323" s="10" t="s">
        <v>32</v>
      </c>
      <c r="D323" s="10" t="s">
        <v>83</v>
      </c>
      <c r="E323" s="10" t="s">
        <v>45</v>
      </c>
      <c r="F323" s="10" t="s">
        <v>78</v>
      </c>
      <c r="G323" s="10" t="s">
        <v>36</v>
      </c>
      <c r="H323" s="10">
        <v>9</v>
      </c>
      <c r="I323" s="10">
        <v>22000</v>
      </c>
      <c r="J323" s="10">
        <v>13800</v>
      </c>
      <c r="K323" s="12">
        <v>0.05</v>
      </c>
      <c r="L323" s="10">
        <v>2</v>
      </c>
      <c r="M323" s="28" t="s">
        <v>324</v>
      </c>
      <c r="N323" s="29">
        <f>_xlfn.IFNA(VLOOKUP(Sales[customer_id],Cust[],11,FALSE),"Unknown")</f>
        <v>50000</v>
      </c>
      <c r="O323" s="29" t="str">
        <f>_xlfn.IFNA(VLOOKUP(Sales[customer_id], Cust[], 7,FALSE),"Unknown customer")</f>
        <v>Lagos</v>
      </c>
      <c r="P323" s="29" t="str">
        <f>_xlfn.IFNA(VLOOKUP(Sales[[#This Row],[customer_id]],Cust[],4, FALSE),"Unknown customer")</f>
        <v>Efe Umeh</v>
      </c>
      <c r="Q323" s="29" t="str">
        <f>_xlfn.IFNA(VLOOKUP(Sales[[#This Row],[customer_id]], Cust[], 10, FALSE), "Unknown customer")</f>
        <v>Wholesale</v>
      </c>
      <c r="R323" s="29">
        <f>SUM(Sales[quantity]*Sales[[#This Row],[unit_price_ngn]]*(1-Sales[[#This Row],[discount_pct]]))</f>
        <v>188100</v>
      </c>
      <c r="S323" s="29">
        <f>Sales[[#This Row],[revenue]]-(Sales[[#This Row],[quantity]]*Sales[[#This Row],[unit_cost_ngn]])</f>
        <v>63900</v>
      </c>
      <c r="T323" s="41" t="str">
        <f>TEXT(Sales[order_date], "yyyy-mm")</f>
        <v>2025-12</v>
      </c>
    </row>
    <row r="324" spans="1:20" ht="15" customHeight="1" x14ac:dyDescent="0.25">
      <c r="A324" s="10" t="s">
        <v>560</v>
      </c>
      <c r="B324" s="11">
        <v>45996</v>
      </c>
      <c r="C324" s="10" t="s">
        <v>32</v>
      </c>
      <c r="D324" s="10" t="s">
        <v>33</v>
      </c>
      <c r="E324" s="10" t="s">
        <v>75</v>
      </c>
      <c r="F324" s="10" t="s">
        <v>88</v>
      </c>
      <c r="G324" s="10" t="s">
        <v>89</v>
      </c>
      <c r="H324" s="10">
        <v>2</v>
      </c>
      <c r="I324" s="10">
        <v>6800</v>
      </c>
      <c r="J324" s="10">
        <v>3900</v>
      </c>
      <c r="K324" s="12">
        <v>0</v>
      </c>
      <c r="L324" s="10">
        <v>4</v>
      </c>
      <c r="M324" s="28" t="s">
        <v>324</v>
      </c>
      <c r="N324" s="29">
        <f>_xlfn.IFNA(VLOOKUP(Sales[customer_id],Cust[],11,FALSE),"Unknown")</f>
        <v>50000</v>
      </c>
      <c r="O324" s="29" t="str">
        <f>_xlfn.IFNA(VLOOKUP(Sales[customer_id], Cust[], 7,FALSE),"Unknown customer")</f>
        <v>Lagos</v>
      </c>
      <c r="P324" s="29" t="str">
        <f>_xlfn.IFNA(VLOOKUP(Sales[[#This Row],[customer_id]],Cust[],4, FALSE),"Unknown customer")</f>
        <v>Efe Umeh</v>
      </c>
      <c r="Q324" s="29" t="str">
        <f>_xlfn.IFNA(VLOOKUP(Sales[[#This Row],[customer_id]], Cust[], 10, FALSE), "Unknown customer")</f>
        <v>Wholesale</v>
      </c>
      <c r="R324" s="29">
        <f>SUM(Sales[quantity]*Sales[[#This Row],[unit_price_ngn]]*(1-Sales[[#This Row],[discount_pct]]))</f>
        <v>13600</v>
      </c>
      <c r="S324" s="29">
        <f>Sales[[#This Row],[revenue]]-(Sales[[#This Row],[quantity]]*Sales[[#This Row],[unit_cost_ngn]])</f>
        <v>5800</v>
      </c>
      <c r="T324" s="41" t="str">
        <f>TEXT(Sales[order_date], "yyyy-mm")</f>
        <v>2025-12</v>
      </c>
    </row>
    <row r="325" spans="1:20" ht="15" customHeight="1" x14ac:dyDescent="0.25">
      <c r="A325" s="10" t="s">
        <v>562</v>
      </c>
      <c r="B325" s="11">
        <v>45998</v>
      </c>
      <c r="C325" s="10" t="s">
        <v>32</v>
      </c>
      <c r="D325" s="10" t="s">
        <v>33</v>
      </c>
      <c r="E325" s="10" t="s">
        <v>45</v>
      </c>
      <c r="F325" s="10" t="s">
        <v>35</v>
      </c>
      <c r="G325" s="10" t="s">
        <v>36</v>
      </c>
      <c r="H325" s="10">
        <v>4</v>
      </c>
      <c r="I325" s="10">
        <v>18500</v>
      </c>
      <c r="J325" s="10">
        <v>11800</v>
      </c>
      <c r="K325" s="12">
        <v>0</v>
      </c>
      <c r="L325" s="10">
        <v>1</v>
      </c>
      <c r="M325" s="28" t="s">
        <v>493</v>
      </c>
      <c r="N325" s="29">
        <f>_xlfn.IFNA(VLOOKUP(Sales[customer_id],Cust[],11,FALSE),"Unknown")</f>
        <v>250000</v>
      </c>
      <c r="O325" s="29" t="str">
        <f>_xlfn.IFNA(VLOOKUP(Sales[customer_id], Cust[], 7,FALSE),"Unknown customer")</f>
        <v>Lagos</v>
      </c>
      <c r="P325" s="29" t="str">
        <f>_xlfn.IFNA(VLOOKUP(Sales[[#This Row],[customer_id]],Cust[],4, FALSE),"Unknown customer")</f>
        <v>Adaeze Balogun</v>
      </c>
      <c r="Q325" s="29" t="str">
        <f>_xlfn.IFNA(VLOOKUP(Sales[[#This Row],[customer_id]], Cust[], 10, FALSE), "Unknown customer")</f>
        <v>Wholesale</v>
      </c>
      <c r="R325" s="29">
        <f>SUM(Sales[quantity]*Sales[[#This Row],[unit_price_ngn]]*(1-Sales[[#This Row],[discount_pct]]))</f>
        <v>74000</v>
      </c>
      <c r="S325" s="29">
        <f>Sales[[#This Row],[revenue]]-(Sales[[#This Row],[quantity]]*Sales[[#This Row],[unit_cost_ngn]])</f>
        <v>26800</v>
      </c>
      <c r="T325" s="41" t="str">
        <f>TEXT(Sales[order_date], "yyyy-mm")</f>
        <v>2025-12</v>
      </c>
    </row>
    <row r="326" spans="1:20" ht="15" customHeight="1" x14ac:dyDescent="0.25">
      <c r="A326" s="10" t="s">
        <v>563</v>
      </c>
      <c r="B326" s="11">
        <v>45999</v>
      </c>
      <c r="C326" s="10" t="s">
        <v>32</v>
      </c>
      <c r="D326" s="10" t="s">
        <v>83</v>
      </c>
      <c r="E326" s="10" t="s">
        <v>75</v>
      </c>
      <c r="F326" s="10" t="s">
        <v>65</v>
      </c>
      <c r="G326" s="10" t="s">
        <v>66</v>
      </c>
      <c r="H326" s="10">
        <v>2</v>
      </c>
      <c r="I326" s="10">
        <v>24000</v>
      </c>
      <c r="J326" s="10">
        <v>14500</v>
      </c>
      <c r="K326" s="12">
        <v>0</v>
      </c>
      <c r="L326" s="10">
        <v>3</v>
      </c>
      <c r="M326" s="28" t="s">
        <v>220</v>
      </c>
      <c r="N326" s="29">
        <f>_xlfn.IFNA(VLOOKUP(Sales[customer_id],Cust[],11,FALSE),"Unknown")</f>
        <v>150000</v>
      </c>
      <c r="O326" s="29" t="str">
        <f>_xlfn.IFNA(VLOOKUP(Sales[customer_id], Cust[], 7,FALSE),"Unknown customer")</f>
        <v>Lagos</v>
      </c>
      <c r="P326" s="29" t="str">
        <f>_xlfn.IFNA(VLOOKUP(Sales[[#This Row],[customer_id]],Cust[],4, FALSE),"Unknown customer")</f>
        <v>Chiamaka Fashola</v>
      </c>
      <c r="Q326" s="29" t="str">
        <f>_xlfn.IFNA(VLOOKUP(Sales[[#This Row],[customer_id]], Cust[], 10, FALSE), "Unknown customer")</f>
        <v>Retail</v>
      </c>
      <c r="R326" s="29">
        <f>SUM(Sales[quantity]*Sales[[#This Row],[unit_price_ngn]]*(1-Sales[[#This Row],[discount_pct]]))</f>
        <v>48000</v>
      </c>
      <c r="S326" s="29">
        <f>Sales[[#This Row],[revenue]]-(Sales[[#This Row],[quantity]]*Sales[[#This Row],[unit_cost_ngn]])</f>
        <v>19000</v>
      </c>
      <c r="T326" s="41" t="str">
        <f>TEXT(Sales[order_date], "yyyy-mm")</f>
        <v>2025-12</v>
      </c>
    </row>
    <row r="327" spans="1:20" ht="15" customHeight="1" x14ac:dyDescent="0.25">
      <c r="A327" s="10" t="s">
        <v>565</v>
      </c>
      <c r="B327" s="11">
        <v>45999</v>
      </c>
      <c r="C327" s="10" t="s">
        <v>32</v>
      </c>
      <c r="D327" s="10" t="s">
        <v>83</v>
      </c>
      <c r="E327" s="10" t="s">
        <v>45</v>
      </c>
      <c r="F327" s="10" t="s">
        <v>65</v>
      </c>
      <c r="G327" s="10" t="s">
        <v>66</v>
      </c>
      <c r="H327" s="10">
        <v>3</v>
      </c>
      <c r="I327" s="10">
        <v>24000</v>
      </c>
      <c r="J327" s="10">
        <v>14500</v>
      </c>
      <c r="K327" s="12">
        <v>0</v>
      </c>
      <c r="L327" s="10">
        <v>2</v>
      </c>
      <c r="M327" s="28" t="s">
        <v>493</v>
      </c>
      <c r="N327" s="29">
        <f>_xlfn.IFNA(VLOOKUP(Sales[customer_id],Cust[],11,FALSE),"Unknown")</f>
        <v>250000</v>
      </c>
      <c r="O327" s="29" t="str">
        <f>_xlfn.IFNA(VLOOKUP(Sales[customer_id], Cust[], 7,FALSE),"Unknown customer")</f>
        <v>Lagos</v>
      </c>
      <c r="P327" s="29" t="str">
        <f>_xlfn.IFNA(VLOOKUP(Sales[[#This Row],[customer_id]],Cust[],4, FALSE),"Unknown customer")</f>
        <v>Adaeze Balogun</v>
      </c>
      <c r="Q327" s="29" t="str">
        <f>_xlfn.IFNA(VLOOKUP(Sales[[#This Row],[customer_id]], Cust[], 10, FALSE), "Unknown customer")</f>
        <v>Wholesale</v>
      </c>
      <c r="R327" s="29">
        <f>SUM(Sales[quantity]*Sales[[#This Row],[unit_price_ngn]]*(1-Sales[[#This Row],[discount_pct]]))</f>
        <v>72000</v>
      </c>
      <c r="S327" s="29">
        <f>Sales[[#This Row],[revenue]]-(Sales[[#This Row],[quantity]]*Sales[[#This Row],[unit_cost_ngn]])</f>
        <v>28500</v>
      </c>
      <c r="T327" s="41" t="str">
        <f>TEXT(Sales[order_date], "yyyy-mm")</f>
        <v>2025-12</v>
      </c>
    </row>
    <row r="328" spans="1:20" ht="15" customHeight="1" x14ac:dyDescent="0.25">
      <c r="A328" s="10" t="s">
        <v>566</v>
      </c>
      <c r="B328" s="11">
        <v>46000</v>
      </c>
      <c r="C328" s="10" t="s">
        <v>32</v>
      </c>
      <c r="D328" s="10" t="s">
        <v>33</v>
      </c>
      <c r="E328" s="10" t="s">
        <v>75</v>
      </c>
      <c r="F328" s="10" t="s">
        <v>60</v>
      </c>
      <c r="G328" s="10" t="s">
        <v>61</v>
      </c>
      <c r="H328" s="10">
        <v>1</v>
      </c>
      <c r="I328" s="10">
        <v>12000</v>
      </c>
      <c r="J328" s="10">
        <v>7200</v>
      </c>
      <c r="K328" s="12">
        <v>0.1</v>
      </c>
      <c r="L328" s="10">
        <v>3</v>
      </c>
      <c r="M328" s="28" t="s">
        <v>97</v>
      </c>
      <c r="N328" s="29">
        <f>_xlfn.IFNA(VLOOKUP(Sales[customer_id],Cust[],11,FALSE),"Unknown")</f>
        <v>150000</v>
      </c>
      <c r="O328" s="29" t="str">
        <f>_xlfn.IFNA(VLOOKUP(Sales[customer_id], Cust[], 7,FALSE),"Unknown customer")</f>
        <v>Lagos</v>
      </c>
      <c r="P328" s="29" t="str">
        <f>_xlfn.IFNA(VLOOKUP(Sales[[#This Row],[customer_id]],Cust[],4, FALSE),"Unknown customer")</f>
        <v>Ibrahim Peters</v>
      </c>
      <c r="Q328" s="29" t="str">
        <f>_xlfn.IFNA(VLOOKUP(Sales[[#This Row],[customer_id]], Cust[], 10, FALSE), "Unknown customer")</f>
        <v>Retail</v>
      </c>
      <c r="R328" s="29">
        <f>SUM(Sales[quantity]*Sales[[#This Row],[unit_price_ngn]]*(1-Sales[[#This Row],[discount_pct]]))</f>
        <v>10800</v>
      </c>
      <c r="S328" s="29">
        <f>Sales[[#This Row],[revenue]]-(Sales[[#This Row],[quantity]]*Sales[[#This Row],[unit_cost_ngn]])</f>
        <v>3600</v>
      </c>
      <c r="T328" s="41" t="str">
        <f>TEXT(Sales[order_date], "yyyy-mm")</f>
        <v>2025-12</v>
      </c>
    </row>
    <row r="329" spans="1:20" ht="15" customHeight="1" x14ac:dyDescent="0.25">
      <c r="A329" s="10" t="s">
        <v>567</v>
      </c>
      <c r="B329" s="11">
        <v>46000</v>
      </c>
      <c r="C329" s="10" t="s">
        <v>32</v>
      </c>
      <c r="D329" s="10" t="s">
        <v>83</v>
      </c>
      <c r="E329" s="10" t="s">
        <v>34</v>
      </c>
      <c r="F329" s="10" t="s">
        <v>50</v>
      </c>
      <c r="G329" s="10" t="s">
        <v>51</v>
      </c>
      <c r="H329" s="10">
        <v>5</v>
      </c>
      <c r="I329" s="10">
        <v>41000</v>
      </c>
      <c r="J329" s="10">
        <v>25000</v>
      </c>
      <c r="K329" s="12">
        <v>0</v>
      </c>
      <c r="L329" s="10">
        <v>2</v>
      </c>
      <c r="M329" s="28" t="s">
        <v>302</v>
      </c>
      <c r="N329" s="29">
        <f>_xlfn.IFNA(VLOOKUP(Sales[customer_id],Cust[],11,FALSE),"Unknown")</f>
        <v>500000</v>
      </c>
      <c r="O329" s="29" t="str">
        <f>_xlfn.IFNA(VLOOKUP(Sales[customer_id], Cust[], 7,FALSE),"Unknown customer")</f>
        <v>Lagos</v>
      </c>
      <c r="P329" s="29" t="str">
        <f>_xlfn.IFNA(VLOOKUP(Sales[[#This Row],[customer_id]],Cust[],4, FALSE),"Unknown customer")</f>
        <v>Halima Adebayo</v>
      </c>
      <c r="Q329" s="29" t="str">
        <f>_xlfn.IFNA(VLOOKUP(Sales[[#This Row],[customer_id]], Cust[], 10, FALSE), "Unknown customer")</f>
        <v>Retail</v>
      </c>
      <c r="R329" s="29">
        <f>SUM(Sales[quantity]*Sales[[#This Row],[unit_price_ngn]]*(1-Sales[[#This Row],[discount_pct]]))</f>
        <v>205000</v>
      </c>
      <c r="S329" s="29">
        <f>Sales[[#This Row],[revenue]]-(Sales[[#This Row],[quantity]]*Sales[[#This Row],[unit_cost_ngn]])</f>
        <v>80000</v>
      </c>
      <c r="T329" s="41" t="str">
        <f>TEXT(Sales[order_date], "yyyy-mm")</f>
        <v>2025-12</v>
      </c>
    </row>
    <row r="330" spans="1:20" ht="15" customHeight="1" x14ac:dyDescent="0.25">
      <c r="A330" s="10" t="s">
        <v>568</v>
      </c>
      <c r="B330" s="11">
        <v>46001</v>
      </c>
      <c r="C330" s="10" t="s">
        <v>32</v>
      </c>
      <c r="D330" s="10" t="s">
        <v>33</v>
      </c>
      <c r="E330" s="10" t="s">
        <v>45</v>
      </c>
      <c r="F330" s="10" t="s">
        <v>50</v>
      </c>
      <c r="G330" s="10" t="s">
        <v>51</v>
      </c>
      <c r="H330" s="10">
        <v>1</v>
      </c>
      <c r="I330" s="10">
        <v>41000</v>
      </c>
      <c r="J330" s="10">
        <v>25000</v>
      </c>
      <c r="K330" s="12">
        <v>0</v>
      </c>
      <c r="L330" s="10">
        <v>2</v>
      </c>
      <c r="M330" s="28" t="s">
        <v>451</v>
      </c>
      <c r="N330" s="29">
        <f>_xlfn.IFNA(VLOOKUP(Sales[customer_id],Cust[],11,FALSE),"Unknown")</f>
        <v>50000</v>
      </c>
      <c r="O330" s="29" t="str">
        <f>_xlfn.IFNA(VLOOKUP(Sales[customer_id], Cust[], 7,FALSE),"Unknown customer")</f>
        <v>Lagos</v>
      </c>
      <c r="P330" s="29" t="str">
        <f>_xlfn.IFNA(VLOOKUP(Sales[[#This Row],[customer_id]],Cust[],4, FALSE),"Unknown customer")</f>
        <v>Grace Musa</v>
      </c>
      <c r="Q330" s="29" t="str">
        <f>_xlfn.IFNA(VLOOKUP(Sales[[#This Row],[customer_id]], Cust[], 10, FALSE), "Unknown customer")</f>
        <v>Wholesale</v>
      </c>
      <c r="R330" s="29">
        <f>SUM(Sales[quantity]*Sales[[#This Row],[unit_price_ngn]]*(1-Sales[[#This Row],[discount_pct]]))</f>
        <v>41000</v>
      </c>
      <c r="S330" s="29">
        <f>Sales[[#This Row],[revenue]]-(Sales[[#This Row],[quantity]]*Sales[[#This Row],[unit_cost_ngn]])</f>
        <v>16000</v>
      </c>
      <c r="T330" s="41" t="str">
        <f>TEXT(Sales[order_date], "yyyy-mm")</f>
        <v>2025-12</v>
      </c>
    </row>
    <row r="331" spans="1:20" ht="15" customHeight="1" x14ac:dyDescent="0.25">
      <c r="A331" s="10" t="s">
        <v>569</v>
      </c>
      <c r="B331" s="11">
        <v>46001</v>
      </c>
      <c r="C331" s="10" t="s">
        <v>32</v>
      </c>
      <c r="D331" s="10" t="s">
        <v>83</v>
      </c>
      <c r="E331" s="10" t="s">
        <v>34</v>
      </c>
      <c r="F331" s="10" t="s">
        <v>35</v>
      </c>
      <c r="G331" s="10" t="s">
        <v>36</v>
      </c>
      <c r="H331" s="10">
        <v>5</v>
      </c>
      <c r="I331" s="10">
        <v>18500</v>
      </c>
      <c r="J331" s="10">
        <v>11800</v>
      </c>
      <c r="K331" s="12">
        <v>0</v>
      </c>
      <c r="L331" s="10">
        <v>2</v>
      </c>
      <c r="M331" s="28" t="s">
        <v>256</v>
      </c>
      <c r="N331" s="29">
        <f>_xlfn.IFNA(VLOOKUP(Sales[customer_id],Cust[],11,FALSE),"Unknown")</f>
        <v>150000</v>
      </c>
      <c r="O331" s="29" t="str">
        <f>_xlfn.IFNA(VLOOKUP(Sales[customer_id], Cust[], 7,FALSE),"Unknown customer")</f>
        <v>Lagos</v>
      </c>
      <c r="P331" s="29" t="str">
        <f>_xlfn.IFNA(VLOOKUP(Sales[[#This Row],[customer_id]],Cust[],4, FALSE),"Unknown customer")</f>
        <v>Emeka Balogun</v>
      </c>
      <c r="Q331" s="29" t="str">
        <f>_xlfn.IFNA(VLOOKUP(Sales[[#This Row],[customer_id]], Cust[], 10, FALSE), "Unknown customer")</f>
        <v>Wholesale</v>
      </c>
      <c r="R331" s="29">
        <f>SUM(Sales[quantity]*Sales[[#This Row],[unit_price_ngn]]*(1-Sales[[#This Row],[discount_pct]]))</f>
        <v>92500</v>
      </c>
      <c r="S331" s="29">
        <f>Sales[[#This Row],[revenue]]-(Sales[[#This Row],[quantity]]*Sales[[#This Row],[unit_cost_ngn]])</f>
        <v>33500</v>
      </c>
      <c r="T331" s="41" t="str">
        <f>TEXT(Sales[order_date], "yyyy-mm")</f>
        <v>2025-12</v>
      </c>
    </row>
    <row r="332" spans="1:20" ht="15" customHeight="1" x14ac:dyDescent="0.25">
      <c r="A332" s="10" t="s">
        <v>575</v>
      </c>
      <c r="B332" s="11">
        <v>46005</v>
      </c>
      <c r="C332" s="10" t="s">
        <v>32</v>
      </c>
      <c r="D332" s="10" t="s">
        <v>83</v>
      </c>
      <c r="E332" s="10" t="s">
        <v>45</v>
      </c>
      <c r="F332" s="10" t="s">
        <v>60</v>
      </c>
      <c r="G332" s="10" t="s">
        <v>61</v>
      </c>
      <c r="H332" s="10">
        <v>2</v>
      </c>
      <c r="I332" s="10">
        <v>12000</v>
      </c>
      <c r="J332" s="10">
        <v>7200</v>
      </c>
      <c r="K332" s="12">
        <v>0</v>
      </c>
      <c r="L332" s="10">
        <v>1</v>
      </c>
      <c r="M332" s="28" t="s">
        <v>278</v>
      </c>
      <c r="N332" s="29">
        <f>_xlfn.IFNA(VLOOKUP(Sales[customer_id],Cust[],11,FALSE),"Unknown")</f>
        <v>150000</v>
      </c>
      <c r="O332" s="29" t="str">
        <f>_xlfn.IFNA(VLOOKUP(Sales[customer_id], Cust[], 7,FALSE),"Unknown customer")</f>
        <v>Lagos</v>
      </c>
      <c r="P332" s="29" t="str">
        <f>_xlfn.IFNA(VLOOKUP(Sales[[#This Row],[customer_id]],Cust[],4, FALSE),"Unknown customer")</f>
        <v>Lanre Balogun</v>
      </c>
      <c r="Q332" s="29" t="str">
        <f>_xlfn.IFNA(VLOOKUP(Sales[[#This Row],[customer_id]], Cust[], 10, FALSE), "Unknown customer")</f>
        <v>Retail</v>
      </c>
      <c r="R332" s="29">
        <f>SUM(Sales[quantity]*Sales[[#This Row],[unit_price_ngn]]*(1-Sales[[#This Row],[discount_pct]]))</f>
        <v>24000</v>
      </c>
      <c r="S332" s="29">
        <f>Sales[[#This Row],[revenue]]-(Sales[[#This Row],[quantity]]*Sales[[#This Row],[unit_cost_ngn]])</f>
        <v>9600</v>
      </c>
      <c r="T332" s="41" t="str">
        <f>TEXT(Sales[order_date], "yyyy-mm")</f>
        <v>2025-12</v>
      </c>
    </row>
    <row r="333" spans="1:20" ht="15" customHeight="1" x14ac:dyDescent="0.25">
      <c r="A333" s="10" t="s">
        <v>576</v>
      </c>
      <c r="B333" s="11">
        <v>46005</v>
      </c>
      <c r="C333" s="10" t="s">
        <v>32</v>
      </c>
      <c r="D333" s="10" t="s">
        <v>83</v>
      </c>
      <c r="E333" s="10" t="s">
        <v>75</v>
      </c>
      <c r="F333" s="10" t="s">
        <v>57</v>
      </c>
      <c r="G333" s="10" t="s">
        <v>51</v>
      </c>
      <c r="H333" s="10">
        <v>3</v>
      </c>
      <c r="I333" s="10">
        <v>27500</v>
      </c>
      <c r="J333" s="10">
        <v>16500</v>
      </c>
      <c r="K333" s="12">
        <v>0</v>
      </c>
      <c r="L333" s="10">
        <v>3</v>
      </c>
      <c r="M333" s="28" t="s">
        <v>493</v>
      </c>
      <c r="N333" s="29">
        <f>_xlfn.IFNA(VLOOKUP(Sales[customer_id],Cust[],11,FALSE),"Unknown")</f>
        <v>250000</v>
      </c>
      <c r="O333" s="29" t="str">
        <f>_xlfn.IFNA(VLOOKUP(Sales[customer_id], Cust[], 7,FALSE),"Unknown customer")</f>
        <v>Lagos</v>
      </c>
      <c r="P333" s="29" t="str">
        <f>_xlfn.IFNA(VLOOKUP(Sales[[#This Row],[customer_id]],Cust[],4, FALSE),"Unknown customer")</f>
        <v>Adaeze Balogun</v>
      </c>
      <c r="Q333" s="29" t="str">
        <f>_xlfn.IFNA(VLOOKUP(Sales[[#This Row],[customer_id]], Cust[], 10, FALSE), "Unknown customer")</f>
        <v>Wholesale</v>
      </c>
      <c r="R333" s="29">
        <f>SUM(Sales[quantity]*Sales[[#This Row],[unit_price_ngn]]*(1-Sales[[#This Row],[discount_pct]]))</f>
        <v>82500</v>
      </c>
      <c r="S333" s="29">
        <f>Sales[[#This Row],[revenue]]-(Sales[[#This Row],[quantity]]*Sales[[#This Row],[unit_cost_ngn]])</f>
        <v>33000</v>
      </c>
      <c r="T333" s="41" t="str">
        <f>TEXT(Sales[order_date], "yyyy-mm")</f>
        <v>2025-12</v>
      </c>
    </row>
    <row r="334" spans="1:20" ht="15" customHeight="1" x14ac:dyDescent="0.25">
      <c r="A334" s="10" t="s">
        <v>577</v>
      </c>
      <c r="B334" s="11">
        <v>46006</v>
      </c>
      <c r="C334" s="10" t="s">
        <v>32</v>
      </c>
      <c r="D334" s="10" t="s">
        <v>33</v>
      </c>
      <c r="E334" s="10" t="s">
        <v>75</v>
      </c>
      <c r="F334" s="10" t="s">
        <v>57</v>
      </c>
      <c r="G334" s="10" t="s">
        <v>51</v>
      </c>
      <c r="H334" s="10">
        <v>7</v>
      </c>
      <c r="I334" s="10">
        <v>27500</v>
      </c>
      <c r="J334" s="10">
        <v>16500</v>
      </c>
      <c r="K334" s="12">
        <v>0</v>
      </c>
      <c r="L334" s="10">
        <v>5</v>
      </c>
      <c r="M334" s="28" t="s">
        <v>493</v>
      </c>
      <c r="N334" s="29">
        <f>_xlfn.IFNA(VLOOKUP(Sales[customer_id],Cust[],11,FALSE),"Unknown")</f>
        <v>250000</v>
      </c>
      <c r="O334" s="29" t="str">
        <f>_xlfn.IFNA(VLOOKUP(Sales[customer_id], Cust[], 7,FALSE),"Unknown customer")</f>
        <v>Lagos</v>
      </c>
      <c r="P334" s="29" t="str">
        <f>_xlfn.IFNA(VLOOKUP(Sales[[#This Row],[customer_id]],Cust[],4, FALSE),"Unknown customer")</f>
        <v>Adaeze Balogun</v>
      </c>
      <c r="Q334" s="29" t="str">
        <f>_xlfn.IFNA(VLOOKUP(Sales[[#This Row],[customer_id]], Cust[], 10, FALSE), "Unknown customer")</f>
        <v>Wholesale</v>
      </c>
      <c r="R334" s="29">
        <f>SUM(Sales[quantity]*Sales[[#This Row],[unit_price_ngn]]*(1-Sales[[#This Row],[discount_pct]]))</f>
        <v>192500</v>
      </c>
      <c r="S334" s="29">
        <f>Sales[[#This Row],[revenue]]-(Sales[[#This Row],[quantity]]*Sales[[#This Row],[unit_cost_ngn]])</f>
        <v>77000</v>
      </c>
      <c r="T334" s="41" t="str">
        <f>TEXT(Sales[order_date], "yyyy-mm")</f>
        <v>2025-12</v>
      </c>
    </row>
    <row r="335" spans="1:20" ht="15" customHeight="1" x14ac:dyDescent="0.25">
      <c r="A335" s="10" t="s">
        <v>578</v>
      </c>
      <c r="B335" s="11">
        <v>46008</v>
      </c>
      <c r="C335" s="10" t="s">
        <v>32</v>
      </c>
      <c r="D335" s="10" t="s">
        <v>33</v>
      </c>
      <c r="E335" s="10" t="s">
        <v>45</v>
      </c>
      <c r="F335" s="10" t="s">
        <v>88</v>
      </c>
      <c r="G335" s="10" t="s">
        <v>89</v>
      </c>
      <c r="H335" s="10">
        <v>3</v>
      </c>
      <c r="I335" s="10">
        <v>6800</v>
      </c>
      <c r="J335" s="10">
        <v>3900</v>
      </c>
      <c r="K335" s="12">
        <v>0</v>
      </c>
      <c r="L335" s="10">
        <v>2</v>
      </c>
      <c r="M335" s="28" t="s">
        <v>220</v>
      </c>
      <c r="N335" s="29">
        <f>_xlfn.IFNA(VLOOKUP(Sales[customer_id],Cust[],11,FALSE),"Unknown")</f>
        <v>150000</v>
      </c>
      <c r="O335" s="29" t="str">
        <f>_xlfn.IFNA(VLOOKUP(Sales[customer_id], Cust[], 7,FALSE),"Unknown customer")</f>
        <v>Lagos</v>
      </c>
      <c r="P335" s="29" t="str">
        <f>_xlfn.IFNA(VLOOKUP(Sales[[#This Row],[customer_id]],Cust[],4, FALSE),"Unknown customer")</f>
        <v>Chiamaka Fashola</v>
      </c>
      <c r="Q335" s="29" t="str">
        <f>_xlfn.IFNA(VLOOKUP(Sales[[#This Row],[customer_id]], Cust[], 10, FALSE), "Unknown customer")</f>
        <v>Retail</v>
      </c>
      <c r="R335" s="29">
        <f>SUM(Sales[quantity]*Sales[[#This Row],[unit_price_ngn]]*(1-Sales[[#This Row],[discount_pct]]))</f>
        <v>20400</v>
      </c>
      <c r="S335" s="29">
        <f>Sales[[#This Row],[revenue]]-(Sales[[#This Row],[quantity]]*Sales[[#This Row],[unit_cost_ngn]])</f>
        <v>8700</v>
      </c>
      <c r="T335" s="41" t="str">
        <f>TEXT(Sales[order_date], "yyyy-mm")</f>
        <v>2025-12</v>
      </c>
    </row>
    <row r="336" spans="1:20" ht="15" customHeight="1" x14ac:dyDescent="0.25">
      <c r="A336" s="10" t="s">
        <v>580</v>
      </c>
      <c r="B336" s="11">
        <v>46012</v>
      </c>
      <c r="C336" s="10" t="s">
        <v>32</v>
      </c>
      <c r="D336" s="10" t="s">
        <v>33</v>
      </c>
      <c r="E336" s="10" t="s">
        <v>34</v>
      </c>
      <c r="F336" s="10" t="s">
        <v>72</v>
      </c>
      <c r="G336" s="10" t="s">
        <v>47</v>
      </c>
      <c r="H336" s="10">
        <v>2</v>
      </c>
      <c r="I336" s="10">
        <v>46000</v>
      </c>
      <c r="J336" s="10">
        <v>39000</v>
      </c>
      <c r="K336" s="12">
        <v>0</v>
      </c>
      <c r="L336" s="10">
        <v>5</v>
      </c>
      <c r="M336" s="28" t="s">
        <v>344</v>
      </c>
      <c r="N336" s="29">
        <f>_xlfn.IFNA(VLOOKUP(Sales[customer_id],Cust[],11,FALSE),"Unknown")</f>
        <v>500000</v>
      </c>
      <c r="O336" s="29" t="str">
        <f>_xlfn.IFNA(VLOOKUP(Sales[customer_id], Cust[], 7,FALSE),"Unknown customer")</f>
        <v>Lagos</v>
      </c>
      <c r="P336" s="29" t="str">
        <f>_xlfn.IFNA(VLOOKUP(Sales[[#This Row],[customer_id]],Cust[],4, FALSE),"Unknown customer")</f>
        <v>Nneka Iheanacho</v>
      </c>
      <c r="Q336" s="29" t="str">
        <f>_xlfn.IFNA(VLOOKUP(Sales[[#This Row],[customer_id]], Cust[], 10, FALSE), "Unknown customer")</f>
        <v>Retail</v>
      </c>
      <c r="R336" s="29">
        <f>SUM(Sales[quantity]*Sales[[#This Row],[unit_price_ngn]]*(1-Sales[[#This Row],[discount_pct]]))</f>
        <v>92000</v>
      </c>
      <c r="S336" s="29">
        <f>Sales[[#This Row],[revenue]]-(Sales[[#This Row],[quantity]]*Sales[[#This Row],[unit_cost_ngn]])</f>
        <v>14000</v>
      </c>
      <c r="T336" s="41" t="str">
        <f>TEXT(Sales[order_date], "yyyy-mm")</f>
        <v>2025-12</v>
      </c>
    </row>
    <row r="337" spans="1:20" ht="15" customHeight="1" x14ac:dyDescent="0.25">
      <c r="A337" s="10" t="s">
        <v>581</v>
      </c>
      <c r="B337" s="11">
        <v>46014</v>
      </c>
      <c r="C337" s="10" t="s">
        <v>32</v>
      </c>
      <c r="D337" s="10" t="s">
        <v>33</v>
      </c>
      <c r="E337" s="10" t="s">
        <v>34</v>
      </c>
      <c r="F337" s="10" t="s">
        <v>72</v>
      </c>
      <c r="G337" s="10" t="s">
        <v>47</v>
      </c>
      <c r="H337" s="10">
        <v>3</v>
      </c>
      <c r="I337" s="10">
        <v>46000</v>
      </c>
      <c r="J337" s="10">
        <v>39000</v>
      </c>
      <c r="K337" s="12">
        <v>0</v>
      </c>
      <c r="L337" s="10">
        <v>5</v>
      </c>
      <c r="M337" s="28" t="s">
        <v>293</v>
      </c>
      <c r="N337" s="29">
        <f>_xlfn.IFNA(VLOOKUP(Sales[customer_id],Cust[],11,FALSE),"Unknown")</f>
        <v>150000</v>
      </c>
      <c r="O337" s="29" t="str">
        <f>_xlfn.IFNA(VLOOKUP(Sales[customer_id], Cust[], 7,FALSE),"Unknown customer")</f>
        <v>Lagos</v>
      </c>
      <c r="P337" s="29" t="str">
        <f>_xlfn.IFNA(VLOOKUP(Sales[[#This Row],[customer_id]],Cust[],4, FALSE),"Unknown customer")</f>
        <v>Fatima Peters</v>
      </c>
      <c r="Q337" s="29" t="str">
        <f>_xlfn.IFNA(VLOOKUP(Sales[[#This Row],[customer_id]], Cust[], 10, FALSE), "Unknown customer")</f>
        <v>Wholesale</v>
      </c>
      <c r="R337" s="29">
        <f>SUM(Sales[quantity]*Sales[[#This Row],[unit_price_ngn]]*(1-Sales[[#This Row],[discount_pct]]))</f>
        <v>138000</v>
      </c>
      <c r="S337" s="29">
        <f>Sales[[#This Row],[revenue]]-(Sales[[#This Row],[quantity]]*Sales[[#This Row],[unit_cost_ngn]])</f>
        <v>21000</v>
      </c>
      <c r="T337" s="41" t="str">
        <f>TEXT(Sales[order_date], "yyyy-mm")</f>
        <v>2025-12</v>
      </c>
    </row>
    <row r="338" spans="1:20" ht="15" customHeight="1" x14ac:dyDescent="0.25">
      <c r="A338" s="10" t="s">
        <v>584</v>
      </c>
      <c r="B338" s="11">
        <v>46019</v>
      </c>
      <c r="C338" s="10" t="s">
        <v>32</v>
      </c>
      <c r="D338" s="10" t="s">
        <v>83</v>
      </c>
      <c r="E338" s="10" t="s">
        <v>45</v>
      </c>
      <c r="F338" s="10" t="s">
        <v>78</v>
      </c>
      <c r="G338" s="10" t="s">
        <v>36</v>
      </c>
      <c r="H338" s="10">
        <v>1</v>
      </c>
      <c r="I338" s="10">
        <v>22000</v>
      </c>
      <c r="J338" s="10">
        <v>13800</v>
      </c>
      <c r="K338" s="12">
        <v>0</v>
      </c>
      <c r="L338" s="10">
        <v>1</v>
      </c>
      <c r="M338" s="28" t="s">
        <v>297</v>
      </c>
      <c r="N338" s="29">
        <f>_xlfn.IFNA(VLOOKUP(Sales[customer_id],Cust[],11,FALSE),"Unknown")</f>
        <v>150000</v>
      </c>
      <c r="O338" s="29" t="str">
        <f>_xlfn.IFNA(VLOOKUP(Sales[customer_id], Cust[], 7,FALSE),"Unknown customer")</f>
        <v>Lagos</v>
      </c>
      <c r="P338" s="29" t="str">
        <f>_xlfn.IFNA(VLOOKUP(Sales[[#This Row],[customer_id]],Cust[],4, FALSE),"Unknown customer")</f>
        <v>Ijeoma Adeleke</v>
      </c>
      <c r="Q338" s="29" t="str">
        <f>_xlfn.IFNA(VLOOKUP(Sales[[#This Row],[customer_id]], Cust[], 10, FALSE), "Unknown customer")</f>
        <v>Corporate</v>
      </c>
      <c r="R338" s="29">
        <f>SUM(Sales[quantity]*Sales[[#This Row],[unit_price_ngn]]*(1-Sales[[#This Row],[discount_pct]]))</f>
        <v>22000</v>
      </c>
      <c r="S338" s="29">
        <f>Sales[[#This Row],[revenue]]-(Sales[[#This Row],[quantity]]*Sales[[#This Row],[unit_cost_ngn]])</f>
        <v>8200</v>
      </c>
      <c r="T338" s="41" t="str">
        <f>TEXT(Sales[order_date], "yyyy-mm")</f>
        <v>2025-12</v>
      </c>
    </row>
    <row r="339" spans="1:20" ht="15" customHeight="1" x14ac:dyDescent="0.25">
      <c r="A339" s="10" t="s">
        <v>586</v>
      </c>
      <c r="B339" s="11">
        <v>46021</v>
      </c>
      <c r="C339" s="10" t="s">
        <v>32</v>
      </c>
      <c r="D339" s="10" t="s">
        <v>83</v>
      </c>
      <c r="E339" s="10" t="s">
        <v>56</v>
      </c>
      <c r="F339" s="10" t="s">
        <v>57</v>
      </c>
      <c r="G339" s="10" t="s">
        <v>51</v>
      </c>
      <c r="H339" s="10">
        <v>2</v>
      </c>
      <c r="I339" s="10">
        <v>27500</v>
      </c>
      <c r="J339" s="10">
        <v>16500</v>
      </c>
      <c r="K339" s="12">
        <v>0</v>
      </c>
      <c r="L339" s="10">
        <v>2</v>
      </c>
      <c r="M339" s="28" t="s">
        <v>342</v>
      </c>
      <c r="N339" s="29">
        <f>_xlfn.IFNA(VLOOKUP(Sales[customer_id],Cust[],11,FALSE),"Unknown")</f>
        <v>500000</v>
      </c>
      <c r="O339" s="29" t="str">
        <f>_xlfn.IFNA(VLOOKUP(Sales[customer_id], Cust[], 7,FALSE),"Unknown customer")</f>
        <v>Lagos</v>
      </c>
      <c r="P339" s="29" t="str">
        <f>_xlfn.IFNA(VLOOKUP(Sales[[#This Row],[customer_id]],Cust[],4, FALSE),"Unknown customer")</f>
        <v>Nneka Nnamdi</v>
      </c>
      <c r="Q339" s="29" t="str">
        <f>_xlfn.IFNA(VLOOKUP(Sales[[#This Row],[customer_id]], Cust[], 10, FALSE), "Unknown customer")</f>
        <v>Wholesale</v>
      </c>
      <c r="R339" s="29">
        <f>SUM(Sales[quantity]*Sales[[#This Row],[unit_price_ngn]]*(1-Sales[[#This Row],[discount_pct]]))</f>
        <v>55000</v>
      </c>
      <c r="S339" s="29">
        <f>Sales[[#This Row],[revenue]]-(Sales[[#This Row],[quantity]]*Sales[[#This Row],[unit_cost_ngn]])</f>
        <v>22000</v>
      </c>
      <c r="T339" s="41" t="str">
        <f>TEXT(Sales[order_date], "yyyy-mm")</f>
        <v>2025-12</v>
      </c>
    </row>
    <row r="340" spans="1:20" ht="15" customHeight="1" x14ac:dyDescent="0.25">
      <c r="A340" s="10" t="s">
        <v>587</v>
      </c>
      <c r="B340" s="11">
        <v>46022</v>
      </c>
      <c r="C340" s="10" t="s">
        <v>32</v>
      </c>
      <c r="D340" s="10" t="s">
        <v>83</v>
      </c>
      <c r="E340" s="10" t="s">
        <v>75</v>
      </c>
      <c r="F340" s="10" t="s">
        <v>50</v>
      </c>
      <c r="G340" s="10" t="s">
        <v>51</v>
      </c>
      <c r="H340" s="10">
        <v>4</v>
      </c>
      <c r="I340" s="10">
        <v>41000</v>
      </c>
      <c r="J340" s="10">
        <v>25000</v>
      </c>
      <c r="K340" s="12">
        <v>0</v>
      </c>
      <c r="L340" s="10">
        <v>2</v>
      </c>
      <c r="M340" s="28" t="s">
        <v>81</v>
      </c>
      <c r="N340" s="29">
        <f>_xlfn.IFNA(VLOOKUP(Sales[customer_id],Cust[],11,FALSE),"Unknown")</f>
        <v>100000</v>
      </c>
      <c r="O340" s="29" t="str">
        <f>_xlfn.IFNA(VLOOKUP(Sales[customer_id], Cust[], 7,FALSE),"Unknown customer")</f>
        <v>Lagos</v>
      </c>
      <c r="P340" s="29" t="str">
        <f>_xlfn.IFNA(VLOOKUP(Sales[[#This Row],[customer_id]],Cust[],4, FALSE),"Unknown customer")</f>
        <v>Jide Umeh</v>
      </c>
      <c r="Q340" s="29" t="str">
        <f>_xlfn.IFNA(VLOOKUP(Sales[[#This Row],[customer_id]], Cust[], 10, FALSE), "Unknown customer")</f>
        <v>Wholesale</v>
      </c>
      <c r="R340" s="29">
        <f>SUM(Sales[quantity]*Sales[[#This Row],[unit_price_ngn]]*(1-Sales[[#This Row],[discount_pct]]))</f>
        <v>164000</v>
      </c>
      <c r="S340" s="29">
        <f>Sales[[#This Row],[revenue]]-(Sales[[#This Row],[quantity]]*Sales[[#This Row],[unit_cost_ngn]])</f>
        <v>64000</v>
      </c>
      <c r="T340" s="41" t="str">
        <f>TEXT(Sales[order_date], "yyyy-mm")</f>
        <v>2025-12</v>
      </c>
    </row>
    <row r="341" spans="1:20" ht="15" customHeight="1" x14ac:dyDescent="0.25">
      <c r="A341" s="10" t="s">
        <v>53</v>
      </c>
      <c r="B341" s="11">
        <v>45660</v>
      </c>
      <c r="C341" s="10" t="s">
        <v>54</v>
      </c>
      <c r="D341" s="10" t="s">
        <v>55</v>
      </c>
      <c r="E341" s="10" t="s">
        <v>56</v>
      </c>
      <c r="F341" s="10" t="s">
        <v>57</v>
      </c>
      <c r="G341" s="10" t="s">
        <v>51</v>
      </c>
      <c r="H341" s="10">
        <v>8</v>
      </c>
      <c r="I341" s="10">
        <v>27500</v>
      </c>
      <c r="J341" s="10">
        <v>16500</v>
      </c>
      <c r="K341" s="12">
        <v>0</v>
      </c>
      <c r="L341" s="10">
        <v>2</v>
      </c>
      <c r="M341" s="28" t="s">
        <v>58</v>
      </c>
      <c r="N341" s="29">
        <f>_xlfn.IFNA(VLOOKUP(Sales[customer_id],Cust[],11,FALSE),"Unknown")</f>
        <v>50000</v>
      </c>
      <c r="O341" s="29" t="str">
        <f>_xlfn.IFNA(VLOOKUP(Sales[customer_id], Cust[], 7,FALSE),"Unknown customer")</f>
        <v>Port Harcourt</v>
      </c>
      <c r="P341" s="29" t="str">
        <f>_xlfn.IFNA(VLOOKUP(Sales[[#This Row],[customer_id]],Cust[],4, FALSE),"Unknown customer")</f>
        <v>Sadiq Iheanacho</v>
      </c>
      <c r="Q341" s="29" t="str">
        <f>_xlfn.IFNA(VLOOKUP(Sales[[#This Row],[customer_id]], Cust[], 10, FALSE), "Unknown customer")</f>
        <v>Retail</v>
      </c>
      <c r="R341" s="29">
        <f>SUM(Sales[quantity]*Sales[[#This Row],[unit_price_ngn]]*(1-Sales[[#This Row],[discount_pct]]))</f>
        <v>220000</v>
      </c>
      <c r="S341" s="29">
        <f>Sales[[#This Row],[revenue]]-(Sales[[#This Row],[quantity]]*Sales[[#This Row],[unit_cost_ngn]])</f>
        <v>88000</v>
      </c>
      <c r="T341" s="41" t="str">
        <f>TEXT(Sales[order_date], "yyyy-mm")</f>
        <v>2025-01</v>
      </c>
    </row>
    <row r="342" spans="1:20" ht="15" customHeight="1" x14ac:dyDescent="0.25">
      <c r="A342" s="10" t="s">
        <v>98</v>
      </c>
      <c r="B342" s="11">
        <v>45671</v>
      </c>
      <c r="C342" s="10" t="s">
        <v>54</v>
      </c>
      <c r="D342" s="10" t="s">
        <v>55</v>
      </c>
      <c r="E342" s="10" t="s">
        <v>34</v>
      </c>
      <c r="F342" s="10" t="s">
        <v>72</v>
      </c>
      <c r="G342" s="10" t="s">
        <v>47</v>
      </c>
      <c r="H342" s="10">
        <v>8</v>
      </c>
      <c r="I342" s="10">
        <v>46000</v>
      </c>
      <c r="J342" s="10">
        <v>39000</v>
      </c>
      <c r="K342" s="12">
        <v>0</v>
      </c>
      <c r="L342" s="10">
        <v>4</v>
      </c>
      <c r="M342" s="28" t="s">
        <v>99</v>
      </c>
      <c r="N342" s="29">
        <f>_xlfn.IFNA(VLOOKUP(Sales[customer_id],Cust[],11,FALSE),"Unknown")</f>
        <v>150000</v>
      </c>
      <c r="O342" s="29" t="str">
        <f>_xlfn.IFNA(VLOOKUP(Sales[customer_id], Cust[], 7,FALSE),"Unknown customer")</f>
        <v>Port Harcourt</v>
      </c>
      <c r="P342" s="29" t="str">
        <f>_xlfn.IFNA(VLOOKUP(Sales[[#This Row],[customer_id]],Cust[],4, FALSE),"Unknown customer")</f>
        <v>Gbenga Okafor</v>
      </c>
      <c r="Q342" s="29" t="str">
        <f>_xlfn.IFNA(VLOOKUP(Sales[[#This Row],[customer_id]], Cust[], 10, FALSE), "Unknown customer")</f>
        <v>Retail</v>
      </c>
      <c r="R342" s="29">
        <f>SUM(Sales[quantity]*Sales[[#This Row],[unit_price_ngn]]*(1-Sales[[#This Row],[discount_pct]]))</f>
        <v>368000</v>
      </c>
      <c r="S342" s="29">
        <f>Sales[[#This Row],[revenue]]-(Sales[[#This Row],[quantity]]*Sales[[#This Row],[unit_cost_ngn]])</f>
        <v>56000</v>
      </c>
      <c r="T342" s="41" t="str">
        <f>TEXT(Sales[order_date], "yyyy-mm")</f>
        <v>2025-01</v>
      </c>
    </row>
    <row r="343" spans="1:20" ht="15" customHeight="1" x14ac:dyDescent="0.25">
      <c r="A343" s="10" t="s">
        <v>105</v>
      </c>
      <c r="B343" s="11">
        <v>45675</v>
      </c>
      <c r="C343" s="10" t="s">
        <v>54</v>
      </c>
      <c r="D343" s="10" t="s">
        <v>55</v>
      </c>
      <c r="E343" s="10" t="s">
        <v>34</v>
      </c>
      <c r="F343" s="10" t="s">
        <v>72</v>
      </c>
      <c r="G343" s="10" t="s">
        <v>47</v>
      </c>
      <c r="H343" s="10">
        <v>2</v>
      </c>
      <c r="I343" s="10">
        <v>46000</v>
      </c>
      <c r="J343" s="10">
        <v>39000</v>
      </c>
      <c r="K343" s="12">
        <v>0</v>
      </c>
      <c r="L343" s="10">
        <v>2</v>
      </c>
      <c r="M343" s="28" t="s">
        <v>58</v>
      </c>
      <c r="N343" s="29">
        <f>_xlfn.IFNA(VLOOKUP(Sales[customer_id],Cust[],11,FALSE),"Unknown")</f>
        <v>50000</v>
      </c>
      <c r="O343" s="29" t="str">
        <f>_xlfn.IFNA(VLOOKUP(Sales[customer_id], Cust[], 7,FALSE),"Unknown customer")</f>
        <v>Port Harcourt</v>
      </c>
      <c r="P343" s="29" t="str">
        <f>_xlfn.IFNA(VLOOKUP(Sales[[#This Row],[customer_id]],Cust[],4, FALSE),"Unknown customer")</f>
        <v>Sadiq Iheanacho</v>
      </c>
      <c r="Q343" s="29" t="str">
        <f>_xlfn.IFNA(VLOOKUP(Sales[[#This Row],[customer_id]], Cust[], 10, FALSE), "Unknown customer")</f>
        <v>Retail</v>
      </c>
      <c r="R343" s="29">
        <f>SUM(Sales[quantity]*Sales[[#This Row],[unit_price_ngn]]*(1-Sales[[#This Row],[discount_pct]]))</f>
        <v>92000</v>
      </c>
      <c r="S343" s="29">
        <f>Sales[[#This Row],[revenue]]-(Sales[[#This Row],[quantity]]*Sales[[#This Row],[unit_cost_ngn]])</f>
        <v>14000</v>
      </c>
      <c r="T343" s="41" t="str">
        <f>TEXT(Sales[order_date], "yyyy-mm")</f>
        <v>2025-01</v>
      </c>
    </row>
    <row r="344" spans="1:20" ht="15" customHeight="1" x14ac:dyDescent="0.25">
      <c r="A344" s="10" t="s">
        <v>122</v>
      </c>
      <c r="B344" s="11">
        <v>45680</v>
      </c>
      <c r="C344" s="10" t="s">
        <v>54</v>
      </c>
      <c r="D344" s="10" t="s">
        <v>55</v>
      </c>
      <c r="E344" s="10" t="s">
        <v>34</v>
      </c>
      <c r="F344" s="10" t="s">
        <v>57</v>
      </c>
      <c r="G344" s="10" t="s">
        <v>51</v>
      </c>
      <c r="H344" s="10">
        <v>8</v>
      </c>
      <c r="I344" s="10">
        <v>27500</v>
      </c>
      <c r="J344" s="10">
        <v>16500</v>
      </c>
      <c r="K344" s="12">
        <v>0.1</v>
      </c>
      <c r="L344" s="10">
        <v>7</v>
      </c>
      <c r="M344" s="28" t="s">
        <v>123</v>
      </c>
      <c r="N344" s="29">
        <f>_xlfn.IFNA(VLOOKUP(Sales[customer_id],Cust[],11,FALSE),"Unknown")</f>
        <v>50000</v>
      </c>
      <c r="O344" s="29" t="str">
        <f>_xlfn.IFNA(VLOOKUP(Sales[customer_id], Cust[], 7,FALSE),"Unknown customer")</f>
        <v>Port Harcourt</v>
      </c>
      <c r="P344" s="29" t="str">
        <f>_xlfn.IFNA(VLOOKUP(Sales[[#This Row],[customer_id]],Cust[],4, FALSE),"Unknown customer")</f>
        <v>Chinelo Jibril</v>
      </c>
      <c r="Q344" s="29" t="str">
        <f>_xlfn.IFNA(VLOOKUP(Sales[[#This Row],[customer_id]], Cust[], 10, FALSE), "Unknown customer")</f>
        <v>Wholesale</v>
      </c>
      <c r="R344" s="29">
        <f>SUM(Sales[quantity]*Sales[[#This Row],[unit_price_ngn]]*(1-Sales[[#This Row],[discount_pct]]))</f>
        <v>198000</v>
      </c>
      <c r="S344" s="29">
        <f>Sales[[#This Row],[revenue]]-(Sales[[#This Row],[quantity]]*Sales[[#This Row],[unit_cost_ngn]])</f>
        <v>66000</v>
      </c>
      <c r="T344" s="41" t="str">
        <f>TEXT(Sales[order_date], "yyyy-mm")</f>
        <v>2025-01</v>
      </c>
    </row>
    <row r="345" spans="1:20" ht="15" customHeight="1" x14ac:dyDescent="0.25">
      <c r="A345" s="10" t="s">
        <v>126</v>
      </c>
      <c r="B345" s="11">
        <v>45681</v>
      </c>
      <c r="C345" s="10" t="s">
        <v>54</v>
      </c>
      <c r="D345" s="10" t="s">
        <v>55</v>
      </c>
      <c r="E345" s="10" t="s">
        <v>75</v>
      </c>
      <c r="F345" s="10" t="s">
        <v>65</v>
      </c>
      <c r="G345" s="10" t="s">
        <v>66</v>
      </c>
      <c r="H345" s="10">
        <v>2</v>
      </c>
      <c r="I345" s="10">
        <v>24000</v>
      </c>
      <c r="J345" s="10">
        <v>14500</v>
      </c>
      <c r="K345" s="12">
        <v>0</v>
      </c>
      <c r="L345" s="10">
        <v>1</v>
      </c>
      <c r="M345" s="28" t="s">
        <v>127</v>
      </c>
      <c r="N345" s="29">
        <f>_xlfn.IFNA(VLOOKUP(Sales[customer_id],Cust[],11,FALSE),"Unknown")</f>
        <v>250000</v>
      </c>
      <c r="O345" s="29" t="str">
        <f>_xlfn.IFNA(VLOOKUP(Sales[customer_id], Cust[], 7,FALSE),"Unknown customer")</f>
        <v>Port Harcourt</v>
      </c>
      <c r="P345" s="29" t="str">
        <f>_xlfn.IFNA(VLOOKUP(Sales[[#This Row],[customer_id]],Cust[],4, FALSE),"Unknown customer")</f>
        <v>Uche Sanni</v>
      </c>
      <c r="Q345" s="29" t="str">
        <f>_xlfn.IFNA(VLOOKUP(Sales[[#This Row],[customer_id]], Cust[], 10, FALSE), "Unknown customer")</f>
        <v>Corporate</v>
      </c>
      <c r="R345" s="29">
        <f>SUM(Sales[quantity]*Sales[[#This Row],[unit_price_ngn]]*(1-Sales[[#This Row],[discount_pct]]))</f>
        <v>48000</v>
      </c>
      <c r="S345" s="29">
        <f>Sales[[#This Row],[revenue]]-(Sales[[#This Row],[quantity]]*Sales[[#This Row],[unit_cost_ngn]])</f>
        <v>19000</v>
      </c>
      <c r="T345" s="41" t="str">
        <f>TEXT(Sales[order_date], "yyyy-mm")</f>
        <v>2025-01</v>
      </c>
    </row>
    <row r="346" spans="1:20" ht="15" customHeight="1" x14ac:dyDescent="0.25">
      <c r="A346" s="10" t="s">
        <v>132</v>
      </c>
      <c r="B346" s="11">
        <v>45687</v>
      </c>
      <c r="C346" s="10" t="s">
        <v>54</v>
      </c>
      <c r="D346" s="10" t="s">
        <v>55</v>
      </c>
      <c r="E346" s="10" t="s">
        <v>45</v>
      </c>
      <c r="F346" s="10" t="s">
        <v>46</v>
      </c>
      <c r="G346" s="10" t="s">
        <v>47</v>
      </c>
      <c r="H346" s="10">
        <v>2</v>
      </c>
      <c r="I346" s="10">
        <v>9800</v>
      </c>
      <c r="J346" s="10">
        <v>7600</v>
      </c>
      <c r="K346" s="12">
        <v>0</v>
      </c>
      <c r="L346" s="10">
        <v>3</v>
      </c>
      <c r="M346" s="28" t="s">
        <v>133</v>
      </c>
      <c r="N346" s="29">
        <f>_xlfn.IFNA(VLOOKUP(Sales[customer_id],Cust[],11,FALSE),"Unknown")</f>
        <v>100000</v>
      </c>
      <c r="O346" s="29" t="str">
        <f>_xlfn.IFNA(VLOOKUP(Sales[customer_id], Cust[], 7,FALSE),"Unknown customer")</f>
        <v>Port Harcourt</v>
      </c>
      <c r="P346" s="29" t="str">
        <f>_xlfn.IFNA(VLOOKUP(Sales[[#This Row],[customer_id]],Cust[],4, FALSE),"Unknown customer")</f>
        <v>Musa Obi</v>
      </c>
      <c r="Q346" s="29" t="str">
        <f>_xlfn.IFNA(VLOOKUP(Sales[[#This Row],[customer_id]], Cust[], 10, FALSE), "Unknown customer")</f>
        <v>Retail</v>
      </c>
      <c r="R346" s="29">
        <f>SUM(Sales[quantity]*Sales[[#This Row],[unit_price_ngn]]*(1-Sales[[#This Row],[discount_pct]]))</f>
        <v>19600</v>
      </c>
      <c r="S346" s="29">
        <f>Sales[[#This Row],[revenue]]-(Sales[[#This Row],[quantity]]*Sales[[#This Row],[unit_cost_ngn]])</f>
        <v>4400</v>
      </c>
      <c r="T346" s="41" t="str">
        <f>TEXT(Sales[order_date], "yyyy-mm")</f>
        <v>2025-01</v>
      </c>
    </row>
    <row r="347" spans="1:20" ht="15" customHeight="1" x14ac:dyDescent="0.25">
      <c r="A347" s="10" t="s">
        <v>134</v>
      </c>
      <c r="B347" s="11">
        <v>45688</v>
      </c>
      <c r="C347" s="10" t="s">
        <v>54</v>
      </c>
      <c r="D347" s="10" t="s">
        <v>55</v>
      </c>
      <c r="E347" s="10" t="s">
        <v>75</v>
      </c>
      <c r="F347" s="10" t="s">
        <v>69</v>
      </c>
      <c r="G347" s="10" t="s">
        <v>66</v>
      </c>
      <c r="H347" s="10">
        <v>3</v>
      </c>
      <c r="I347" s="10">
        <v>32000</v>
      </c>
      <c r="J347" s="10">
        <v>21000</v>
      </c>
      <c r="K347" s="12">
        <v>0.05</v>
      </c>
      <c r="L347" s="10">
        <v>5</v>
      </c>
      <c r="M347" s="28" t="s">
        <v>135</v>
      </c>
      <c r="N347" s="29">
        <f>_xlfn.IFNA(VLOOKUP(Sales[customer_id],Cust[],11,FALSE),"Unknown")</f>
        <v>250000</v>
      </c>
      <c r="O347" s="29" t="str">
        <f>_xlfn.IFNA(VLOOKUP(Sales[customer_id], Cust[], 7,FALSE),"Unknown customer")</f>
        <v>Port Harcourt</v>
      </c>
      <c r="P347" s="29" t="str">
        <f>_xlfn.IFNA(VLOOKUP(Sales[[#This Row],[customer_id]],Cust[],4, FALSE),"Unknown customer")</f>
        <v>Sadiq Obi</v>
      </c>
      <c r="Q347" s="29" t="str">
        <f>_xlfn.IFNA(VLOOKUP(Sales[[#This Row],[customer_id]], Cust[], 10, FALSE), "Unknown customer")</f>
        <v>Wholesale</v>
      </c>
      <c r="R347" s="29">
        <f>SUM(Sales[quantity]*Sales[[#This Row],[unit_price_ngn]]*(1-Sales[[#This Row],[discount_pct]]))</f>
        <v>91200</v>
      </c>
      <c r="S347" s="29">
        <f>Sales[[#This Row],[revenue]]-(Sales[[#This Row],[quantity]]*Sales[[#This Row],[unit_cost_ngn]])</f>
        <v>28200</v>
      </c>
      <c r="T347" s="41" t="str">
        <f>TEXT(Sales[order_date], "yyyy-mm")</f>
        <v>2025-01</v>
      </c>
    </row>
    <row r="348" spans="1:20" ht="15" customHeight="1" x14ac:dyDescent="0.25">
      <c r="A348" s="10" t="s">
        <v>136</v>
      </c>
      <c r="B348" s="11">
        <v>45688</v>
      </c>
      <c r="C348" s="10" t="s">
        <v>54</v>
      </c>
      <c r="D348" s="10" t="s">
        <v>55</v>
      </c>
      <c r="E348" s="10" t="s">
        <v>56</v>
      </c>
      <c r="F348" s="10" t="s">
        <v>101</v>
      </c>
      <c r="G348" s="10" t="s">
        <v>61</v>
      </c>
      <c r="H348" s="10">
        <v>3</v>
      </c>
      <c r="I348" s="10">
        <v>28000</v>
      </c>
      <c r="J348" s="10">
        <v>18500</v>
      </c>
      <c r="K348" s="12">
        <v>0.05</v>
      </c>
      <c r="L348" s="10">
        <v>2</v>
      </c>
      <c r="M348" s="28" t="s">
        <v>99</v>
      </c>
      <c r="N348" s="29">
        <f>_xlfn.IFNA(VLOOKUP(Sales[customer_id],Cust[],11,FALSE),"Unknown")</f>
        <v>150000</v>
      </c>
      <c r="O348" s="29" t="str">
        <f>_xlfn.IFNA(VLOOKUP(Sales[customer_id], Cust[], 7,FALSE),"Unknown customer")</f>
        <v>Port Harcourt</v>
      </c>
      <c r="P348" s="29" t="str">
        <f>_xlfn.IFNA(VLOOKUP(Sales[[#This Row],[customer_id]],Cust[],4, FALSE),"Unknown customer")</f>
        <v>Gbenga Okafor</v>
      </c>
      <c r="Q348" s="29" t="str">
        <f>_xlfn.IFNA(VLOOKUP(Sales[[#This Row],[customer_id]], Cust[], 10, FALSE), "Unknown customer")</f>
        <v>Retail</v>
      </c>
      <c r="R348" s="29">
        <f>SUM(Sales[quantity]*Sales[[#This Row],[unit_price_ngn]]*(1-Sales[[#This Row],[discount_pct]]))</f>
        <v>79800</v>
      </c>
      <c r="S348" s="29">
        <f>Sales[[#This Row],[revenue]]-(Sales[[#This Row],[quantity]]*Sales[[#This Row],[unit_cost_ngn]])</f>
        <v>24300</v>
      </c>
      <c r="T348" s="41" t="str">
        <f>TEXT(Sales[order_date], "yyyy-mm")</f>
        <v>2025-01</v>
      </c>
    </row>
    <row r="349" spans="1:20" ht="15" customHeight="1" x14ac:dyDescent="0.25">
      <c r="A349" s="10" t="s">
        <v>139</v>
      </c>
      <c r="B349" s="11">
        <v>45690</v>
      </c>
      <c r="C349" s="10" t="s">
        <v>54</v>
      </c>
      <c r="D349" s="10" t="s">
        <v>55</v>
      </c>
      <c r="E349" s="10" t="s">
        <v>45</v>
      </c>
      <c r="F349" s="10" t="s">
        <v>46</v>
      </c>
      <c r="G349" s="10" t="s">
        <v>47</v>
      </c>
      <c r="H349" s="10">
        <v>3</v>
      </c>
      <c r="I349" s="10">
        <v>9800</v>
      </c>
      <c r="J349" s="10">
        <v>7600</v>
      </c>
      <c r="K349" s="12">
        <v>0.1</v>
      </c>
      <c r="L349" s="10">
        <v>2</v>
      </c>
      <c r="M349" s="28" t="s">
        <v>140</v>
      </c>
      <c r="N349" s="29">
        <f>_xlfn.IFNA(VLOOKUP(Sales[customer_id],Cust[],11,FALSE),"Unknown")</f>
        <v>250000</v>
      </c>
      <c r="O349" s="29" t="str">
        <f>_xlfn.IFNA(VLOOKUP(Sales[customer_id], Cust[], 7,FALSE),"Unknown customer")</f>
        <v>Port Harcourt</v>
      </c>
      <c r="P349" s="29" t="str">
        <f>_xlfn.IFNA(VLOOKUP(Sales[[#This Row],[customer_id]],Cust[],4, FALSE),"Unknown customer")</f>
        <v>Gbenga Ojo</v>
      </c>
      <c r="Q349" s="29" t="str">
        <f>_xlfn.IFNA(VLOOKUP(Sales[[#This Row],[customer_id]], Cust[], 10, FALSE), "Unknown customer")</f>
        <v>Retail</v>
      </c>
      <c r="R349" s="29">
        <f>SUM(Sales[quantity]*Sales[[#This Row],[unit_price_ngn]]*(1-Sales[[#This Row],[discount_pct]]))</f>
        <v>26460</v>
      </c>
      <c r="S349" s="29">
        <f>Sales[[#This Row],[revenue]]-(Sales[[#This Row],[quantity]]*Sales[[#This Row],[unit_cost_ngn]])</f>
        <v>3660</v>
      </c>
      <c r="T349" s="41" t="str">
        <f>TEXT(Sales[order_date], "yyyy-mm")</f>
        <v>2025-02</v>
      </c>
    </row>
    <row r="350" spans="1:20" ht="15" customHeight="1" x14ac:dyDescent="0.25">
      <c r="A350" s="10" t="s">
        <v>142</v>
      </c>
      <c r="B350" s="11">
        <v>45695</v>
      </c>
      <c r="C350" s="10" t="s">
        <v>54</v>
      </c>
      <c r="D350" s="10" t="s">
        <v>55</v>
      </c>
      <c r="E350" s="10" t="s">
        <v>45</v>
      </c>
      <c r="F350" s="10" t="s">
        <v>50</v>
      </c>
      <c r="G350" s="10" t="s">
        <v>51</v>
      </c>
      <c r="H350" s="10">
        <v>3</v>
      </c>
      <c r="I350" s="10">
        <v>41000</v>
      </c>
      <c r="J350" s="10">
        <v>25000</v>
      </c>
      <c r="K350" s="12">
        <v>0</v>
      </c>
      <c r="L350" s="10">
        <v>4</v>
      </c>
      <c r="M350" s="28" t="s">
        <v>143</v>
      </c>
      <c r="N350" s="29">
        <f>_xlfn.IFNA(VLOOKUP(Sales[customer_id],Cust[],11,FALSE),"Unknown")</f>
        <v>250000</v>
      </c>
      <c r="O350" s="29" t="str">
        <f>_xlfn.IFNA(VLOOKUP(Sales[customer_id], Cust[], 7,FALSE),"Unknown customer")</f>
        <v>Port Harcourt</v>
      </c>
      <c r="P350" s="29" t="str">
        <f>_xlfn.IFNA(VLOOKUP(Sales[[#This Row],[customer_id]],Cust[],4, FALSE),"Unknown customer")</f>
        <v>Bashir Ibrahim</v>
      </c>
      <c r="Q350" s="29" t="str">
        <f>_xlfn.IFNA(VLOOKUP(Sales[[#This Row],[customer_id]], Cust[], 10, FALSE), "Unknown customer")</f>
        <v>Corporate</v>
      </c>
      <c r="R350" s="29">
        <f>SUM(Sales[quantity]*Sales[[#This Row],[unit_price_ngn]]*(1-Sales[[#This Row],[discount_pct]]))</f>
        <v>123000</v>
      </c>
      <c r="S350" s="29">
        <f>Sales[[#This Row],[revenue]]-(Sales[[#This Row],[quantity]]*Sales[[#This Row],[unit_cost_ngn]])</f>
        <v>48000</v>
      </c>
      <c r="T350" s="41" t="str">
        <f>TEXT(Sales[order_date], "yyyy-mm")</f>
        <v>2025-02</v>
      </c>
    </row>
    <row r="351" spans="1:20" ht="15" customHeight="1" x14ac:dyDescent="0.25">
      <c r="A351" s="10" t="s">
        <v>144</v>
      </c>
      <c r="B351" s="11">
        <v>45696</v>
      </c>
      <c r="C351" s="10" t="s">
        <v>54</v>
      </c>
      <c r="D351" s="10" t="s">
        <v>55</v>
      </c>
      <c r="E351" s="10" t="s">
        <v>56</v>
      </c>
      <c r="F351" s="10" t="s">
        <v>57</v>
      </c>
      <c r="G351" s="10" t="s">
        <v>51</v>
      </c>
      <c r="H351" s="10">
        <v>1</v>
      </c>
      <c r="I351" s="10">
        <v>27500</v>
      </c>
      <c r="J351" s="10">
        <v>16500</v>
      </c>
      <c r="K351" s="12">
        <v>0</v>
      </c>
      <c r="L351" s="10">
        <v>5</v>
      </c>
      <c r="M351" s="28" t="s">
        <v>145</v>
      </c>
      <c r="N351" s="29">
        <f>_xlfn.IFNA(VLOOKUP(Sales[customer_id],Cust[],11,FALSE),"Unknown")</f>
        <v>50000</v>
      </c>
      <c r="O351" s="29" t="str">
        <f>_xlfn.IFNA(VLOOKUP(Sales[customer_id], Cust[], 7,FALSE),"Unknown customer")</f>
        <v>Port Harcourt</v>
      </c>
      <c r="P351" s="29" t="str">
        <f>_xlfn.IFNA(VLOOKUP(Sales[[#This Row],[customer_id]],Cust[],4, FALSE),"Unknown customer")</f>
        <v>Amaka Eze</v>
      </c>
      <c r="Q351" s="29" t="str">
        <f>_xlfn.IFNA(VLOOKUP(Sales[[#This Row],[customer_id]], Cust[], 10, FALSE), "Unknown customer")</f>
        <v>Retail</v>
      </c>
      <c r="R351" s="29">
        <f>SUM(Sales[quantity]*Sales[[#This Row],[unit_price_ngn]]*(1-Sales[[#This Row],[discount_pct]]))</f>
        <v>27500</v>
      </c>
      <c r="S351" s="29">
        <f>Sales[[#This Row],[revenue]]-(Sales[[#This Row],[quantity]]*Sales[[#This Row],[unit_cost_ngn]])</f>
        <v>11000</v>
      </c>
      <c r="T351" s="41" t="str">
        <f>TEXT(Sales[order_date], "yyyy-mm")</f>
        <v>2025-02</v>
      </c>
    </row>
    <row r="352" spans="1:20" ht="15" customHeight="1" x14ac:dyDescent="0.25">
      <c r="A352" s="10" t="s">
        <v>151</v>
      </c>
      <c r="B352" s="11">
        <v>45700</v>
      </c>
      <c r="C352" s="10" t="s">
        <v>54</v>
      </c>
      <c r="D352" s="10" t="s">
        <v>55</v>
      </c>
      <c r="E352" s="10" t="s">
        <v>75</v>
      </c>
      <c r="F352" s="10" t="s">
        <v>46</v>
      </c>
      <c r="G352" s="10" t="s">
        <v>47</v>
      </c>
      <c r="H352" s="10">
        <v>1</v>
      </c>
      <c r="I352" s="10">
        <v>9800</v>
      </c>
      <c r="J352" s="10">
        <v>7600</v>
      </c>
      <c r="K352" s="12">
        <v>0</v>
      </c>
      <c r="L352" s="10">
        <v>4</v>
      </c>
      <c r="M352" s="28" t="s">
        <v>152</v>
      </c>
      <c r="N352" s="29">
        <f>_xlfn.IFNA(VLOOKUP(Sales[customer_id],Cust[],11,FALSE),"Unknown")</f>
        <v>100000</v>
      </c>
      <c r="O352" s="29" t="str">
        <f>_xlfn.IFNA(VLOOKUP(Sales[customer_id], Cust[], 7,FALSE),"Unknown customer")</f>
        <v>Port Harcourt</v>
      </c>
      <c r="P352" s="29" t="str">
        <f>_xlfn.IFNA(VLOOKUP(Sales[[#This Row],[customer_id]],Cust[],4, FALSE),"Unknown customer")</f>
        <v>Maryam Oyelaran</v>
      </c>
      <c r="Q352" s="29" t="str">
        <f>_xlfn.IFNA(VLOOKUP(Sales[[#This Row],[customer_id]], Cust[], 10, FALSE), "Unknown customer")</f>
        <v>Corporate</v>
      </c>
      <c r="R352" s="29">
        <f>SUM(Sales[quantity]*Sales[[#This Row],[unit_price_ngn]]*(1-Sales[[#This Row],[discount_pct]]))</f>
        <v>9800</v>
      </c>
      <c r="S352" s="29">
        <f>Sales[[#This Row],[revenue]]-(Sales[[#This Row],[quantity]]*Sales[[#This Row],[unit_cost_ngn]])</f>
        <v>2200</v>
      </c>
      <c r="T352" s="41" t="str">
        <f>TEXT(Sales[order_date], "yyyy-mm")</f>
        <v>2025-02</v>
      </c>
    </row>
    <row r="353" spans="1:20" ht="15" customHeight="1" x14ac:dyDescent="0.25">
      <c r="A353" s="10" t="s">
        <v>167</v>
      </c>
      <c r="B353" s="11">
        <v>45710</v>
      </c>
      <c r="C353" s="10" t="s">
        <v>54</v>
      </c>
      <c r="D353" s="10" t="s">
        <v>55</v>
      </c>
      <c r="E353" s="10" t="s">
        <v>75</v>
      </c>
      <c r="F353" s="10" t="s">
        <v>35</v>
      </c>
      <c r="G353" s="10" t="s">
        <v>36</v>
      </c>
      <c r="H353" s="10">
        <v>3</v>
      </c>
      <c r="I353" s="10">
        <v>18500</v>
      </c>
      <c r="J353" s="10">
        <v>11800</v>
      </c>
      <c r="K353" s="12">
        <v>0</v>
      </c>
      <c r="L353" s="10">
        <v>5</v>
      </c>
      <c r="M353" s="28" t="s">
        <v>127</v>
      </c>
      <c r="N353" s="29">
        <f>_xlfn.IFNA(VLOOKUP(Sales[customer_id],Cust[],11,FALSE),"Unknown")</f>
        <v>250000</v>
      </c>
      <c r="O353" s="29" t="str">
        <f>_xlfn.IFNA(VLOOKUP(Sales[customer_id], Cust[], 7,FALSE),"Unknown customer")</f>
        <v>Port Harcourt</v>
      </c>
      <c r="P353" s="29" t="str">
        <f>_xlfn.IFNA(VLOOKUP(Sales[[#This Row],[customer_id]],Cust[],4, FALSE),"Unknown customer")</f>
        <v>Uche Sanni</v>
      </c>
      <c r="Q353" s="29" t="str">
        <f>_xlfn.IFNA(VLOOKUP(Sales[[#This Row],[customer_id]], Cust[], 10, FALSE), "Unknown customer")</f>
        <v>Corporate</v>
      </c>
      <c r="R353" s="29">
        <f>SUM(Sales[quantity]*Sales[[#This Row],[unit_price_ngn]]*(1-Sales[[#This Row],[discount_pct]]))</f>
        <v>55500</v>
      </c>
      <c r="S353" s="29">
        <f>Sales[[#This Row],[revenue]]-(Sales[[#This Row],[quantity]]*Sales[[#This Row],[unit_cost_ngn]])</f>
        <v>20100</v>
      </c>
      <c r="T353" s="41" t="str">
        <f>TEXT(Sales[order_date], "yyyy-mm")</f>
        <v>2025-02</v>
      </c>
    </row>
    <row r="354" spans="1:20" ht="15" customHeight="1" x14ac:dyDescent="0.25">
      <c r="A354" s="10" t="s">
        <v>184</v>
      </c>
      <c r="B354" s="11">
        <v>45724</v>
      </c>
      <c r="C354" s="10" t="s">
        <v>54</v>
      </c>
      <c r="D354" s="10" t="s">
        <v>55</v>
      </c>
      <c r="E354" s="10" t="s">
        <v>45</v>
      </c>
      <c r="F354" s="10" t="s">
        <v>88</v>
      </c>
      <c r="G354" s="10" t="s">
        <v>89</v>
      </c>
      <c r="H354" s="10">
        <v>4</v>
      </c>
      <c r="I354" s="10">
        <v>6800</v>
      </c>
      <c r="J354" s="10">
        <v>3900</v>
      </c>
      <c r="K354" s="12">
        <v>0</v>
      </c>
      <c r="L354" s="10">
        <v>2</v>
      </c>
      <c r="M354" s="28" t="s">
        <v>152</v>
      </c>
      <c r="N354" s="29">
        <f>_xlfn.IFNA(VLOOKUP(Sales[customer_id],Cust[],11,FALSE),"Unknown")</f>
        <v>100000</v>
      </c>
      <c r="O354" s="29" t="str">
        <f>_xlfn.IFNA(VLOOKUP(Sales[customer_id], Cust[], 7,FALSE),"Unknown customer")</f>
        <v>Port Harcourt</v>
      </c>
      <c r="P354" s="29" t="str">
        <f>_xlfn.IFNA(VLOOKUP(Sales[[#This Row],[customer_id]],Cust[],4, FALSE),"Unknown customer")</f>
        <v>Maryam Oyelaran</v>
      </c>
      <c r="Q354" s="29" t="str">
        <f>_xlfn.IFNA(VLOOKUP(Sales[[#This Row],[customer_id]], Cust[], 10, FALSE), "Unknown customer")</f>
        <v>Corporate</v>
      </c>
      <c r="R354" s="29">
        <f>SUM(Sales[quantity]*Sales[[#This Row],[unit_price_ngn]]*(1-Sales[[#This Row],[discount_pct]]))</f>
        <v>27200</v>
      </c>
      <c r="S354" s="29">
        <f>Sales[[#This Row],[revenue]]-(Sales[[#This Row],[quantity]]*Sales[[#This Row],[unit_cost_ngn]])</f>
        <v>11600</v>
      </c>
      <c r="T354" s="41" t="str">
        <f>TEXT(Sales[order_date], "yyyy-mm")</f>
        <v>2025-03</v>
      </c>
    </row>
    <row r="355" spans="1:20" ht="15" customHeight="1" x14ac:dyDescent="0.25">
      <c r="A355" s="10" t="s">
        <v>204</v>
      </c>
      <c r="B355" s="11">
        <v>45735</v>
      </c>
      <c r="C355" s="10" t="s">
        <v>54</v>
      </c>
      <c r="D355" s="10" t="s">
        <v>55</v>
      </c>
      <c r="E355" s="10" t="s">
        <v>34</v>
      </c>
      <c r="F355" s="10" t="s">
        <v>57</v>
      </c>
      <c r="G355" s="10" t="s">
        <v>51</v>
      </c>
      <c r="H355" s="10">
        <v>2</v>
      </c>
      <c r="I355" s="10">
        <v>27500</v>
      </c>
      <c r="J355" s="10">
        <v>16500</v>
      </c>
      <c r="K355" s="12">
        <v>0</v>
      </c>
      <c r="L355" s="10">
        <v>3</v>
      </c>
      <c r="M355" s="28" t="s">
        <v>205</v>
      </c>
      <c r="N355" s="29">
        <f>_xlfn.IFNA(VLOOKUP(Sales[customer_id],Cust[],11,FALSE),"Unknown")</f>
        <v>50000</v>
      </c>
      <c r="O355" s="29" t="str">
        <f>_xlfn.IFNA(VLOOKUP(Sales[customer_id], Cust[], 7,FALSE),"Unknown customer")</f>
        <v>Port Harcourt</v>
      </c>
      <c r="P355" s="29" t="str">
        <f>_xlfn.IFNA(VLOOKUP(Sales[[#This Row],[customer_id]],Cust[],4, FALSE),"Unknown customer")</f>
        <v>Kelechi Balogun</v>
      </c>
      <c r="Q355" s="29" t="str">
        <f>_xlfn.IFNA(VLOOKUP(Sales[[#This Row],[customer_id]], Cust[], 10, FALSE), "Unknown customer")</f>
        <v>Retail</v>
      </c>
      <c r="R355" s="29">
        <f>SUM(Sales[quantity]*Sales[[#This Row],[unit_price_ngn]]*(1-Sales[[#This Row],[discount_pct]]))</f>
        <v>55000</v>
      </c>
      <c r="S355" s="29">
        <f>Sales[[#This Row],[revenue]]-(Sales[[#This Row],[quantity]]*Sales[[#This Row],[unit_cost_ngn]])</f>
        <v>22000</v>
      </c>
      <c r="T355" s="41" t="str">
        <f>TEXT(Sales[order_date], "yyyy-mm")</f>
        <v>2025-03</v>
      </c>
    </row>
    <row r="356" spans="1:20" ht="15" customHeight="1" x14ac:dyDescent="0.25">
      <c r="A356" s="10" t="s">
        <v>206</v>
      </c>
      <c r="B356" s="11">
        <v>45736</v>
      </c>
      <c r="C356" s="10" t="s">
        <v>54</v>
      </c>
      <c r="D356" s="10" t="s">
        <v>55</v>
      </c>
      <c r="E356" s="10" t="s">
        <v>45</v>
      </c>
      <c r="F356" s="10" t="s">
        <v>78</v>
      </c>
      <c r="G356" s="10" t="s">
        <v>36</v>
      </c>
      <c r="H356" s="10">
        <v>2</v>
      </c>
      <c r="I356" s="10">
        <v>22000</v>
      </c>
      <c r="J356" s="10">
        <v>13800</v>
      </c>
      <c r="K356" s="12">
        <v>0</v>
      </c>
      <c r="L356" s="10">
        <v>1</v>
      </c>
      <c r="M356" s="28" t="s">
        <v>152</v>
      </c>
      <c r="N356" s="29">
        <f>_xlfn.IFNA(VLOOKUP(Sales[customer_id],Cust[],11,FALSE),"Unknown")</f>
        <v>100000</v>
      </c>
      <c r="O356" s="29" t="str">
        <f>_xlfn.IFNA(VLOOKUP(Sales[customer_id], Cust[], 7,FALSE),"Unknown customer")</f>
        <v>Port Harcourt</v>
      </c>
      <c r="P356" s="29" t="str">
        <f>_xlfn.IFNA(VLOOKUP(Sales[[#This Row],[customer_id]],Cust[],4, FALSE),"Unknown customer")</f>
        <v>Maryam Oyelaran</v>
      </c>
      <c r="Q356" s="29" t="str">
        <f>_xlfn.IFNA(VLOOKUP(Sales[[#This Row],[customer_id]], Cust[], 10, FALSE), "Unknown customer")</f>
        <v>Corporate</v>
      </c>
      <c r="R356" s="29">
        <f>SUM(Sales[quantity]*Sales[[#This Row],[unit_price_ngn]]*(1-Sales[[#This Row],[discount_pct]]))</f>
        <v>44000</v>
      </c>
      <c r="S356" s="29">
        <f>Sales[[#This Row],[revenue]]-(Sales[[#This Row],[quantity]]*Sales[[#This Row],[unit_cost_ngn]])</f>
        <v>16400</v>
      </c>
      <c r="T356" s="41" t="str">
        <f>TEXT(Sales[order_date], "yyyy-mm")</f>
        <v>2025-03</v>
      </c>
    </row>
    <row r="357" spans="1:20" ht="15" customHeight="1" x14ac:dyDescent="0.25">
      <c r="A357" s="10" t="s">
        <v>215</v>
      </c>
      <c r="B357" s="11">
        <v>45741</v>
      </c>
      <c r="C357" s="10" t="s">
        <v>54</v>
      </c>
      <c r="D357" s="10" t="s">
        <v>55</v>
      </c>
      <c r="E357" s="10" t="s">
        <v>56</v>
      </c>
      <c r="F357" s="10" t="s">
        <v>60</v>
      </c>
      <c r="G357" s="10" t="s">
        <v>61</v>
      </c>
      <c r="H357" s="10">
        <v>8</v>
      </c>
      <c r="I357" s="10">
        <v>12000</v>
      </c>
      <c r="J357" s="10">
        <v>7200</v>
      </c>
      <c r="K357" s="12">
        <v>0</v>
      </c>
      <c r="L357" s="10">
        <v>10</v>
      </c>
      <c r="M357" s="28" t="s">
        <v>99</v>
      </c>
      <c r="N357" s="29">
        <f>_xlfn.IFNA(VLOOKUP(Sales[customer_id],Cust[],11,FALSE),"Unknown")</f>
        <v>150000</v>
      </c>
      <c r="O357" s="29" t="str">
        <f>_xlfn.IFNA(VLOOKUP(Sales[customer_id], Cust[], 7,FALSE),"Unknown customer")</f>
        <v>Port Harcourt</v>
      </c>
      <c r="P357" s="29" t="str">
        <f>_xlfn.IFNA(VLOOKUP(Sales[[#This Row],[customer_id]],Cust[],4, FALSE),"Unknown customer")</f>
        <v>Gbenga Okafor</v>
      </c>
      <c r="Q357" s="29" t="str">
        <f>_xlfn.IFNA(VLOOKUP(Sales[[#This Row],[customer_id]], Cust[], 10, FALSE), "Unknown customer")</f>
        <v>Retail</v>
      </c>
      <c r="R357" s="29">
        <f>SUM(Sales[quantity]*Sales[[#This Row],[unit_price_ngn]]*(1-Sales[[#This Row],[discount_pct]]))</f>
        <v>96000</v>
      </c>
      <c r="S357" s="29">
        <f>Sales[[#This Row],[revenue]]-(Sales[[#This Row],[quantity]]*Sales[[#This Row],[unit_cost_ngn]])</f>
        <v>38400</v>
      </c>
      <c r="T357" s="41" t="str">
        <f>TEXT(Sales[order_date], "yyyy-mm")</f>
        <v>2025-03</v>
      </c>
    </row>
    <row r="358" spans="1:20" ht="15" customHeight="1" x14ac:dyDescent="0.25">
      <c r="A358" s="10" t="s">
        <v>217</v>
      </c>
      <c r="B358" s="11">
        <v>45743</v>
      </c>
      <c r="C358" s="10" t="s">
        <v>54</v>
      </c>
      <c r="D358" s="10" t="s">
        <v>55</v>
      </c>
      <c r="E358" s="10" t="s">
        <v>45</v>
      </c>
      <c r="F358" s="10" t="s">
        <v>57</v>
      </c>
      <c r="G358" s="10" t="s">
        <v>51</v>
      </c>
      <c r="H358" s="10">
        <v>1</v>
      </c>
      <c r="I358" s="10">
        <v>27500</v>
      </c>
      <c r="J358" s="10">
        <v>16500</v>
      </c>
      <c r="K358" s="12">
        <v>0</v>
      </c>
      <c r="L358" s="10">
        <v>2</v>
      </c>
      <c r="M358" s="28" t="s">
        <v>218</v>
      </c>
      <c r="N358" s="29">
        <f>_xlfn.IFNA(VLOOKUP(Sales[customer_id],Cust[],11,FALSE),"Unknown")</f>
        <v>150000</v>
      </c>
      <c r="O358" s="29" t="str">
        <f>_xlfn.IFNA(VLOOKUP(Sales[customer_id], Cust[], 7,FALSE),"Unknown customer")</f>
        <v>Port Harcourt</v>
      </c>
      <c r="P358" s="29" t="str">
        <f>_xlfn.IFNA(VLOOKUP(Sales[[#This Row],[customer_id]],Cust[],4, FALSE),"Unknown customer")</f>
        <v>Bola Kalu</v>
      </c>
      <c r="Q358" s="29" t="str">
        <f>_xlfn.IFNA(VLOOKUP(Sales[[#This Row],[customer_id]], Cust[], 10, FALSE), "Unknown customer")</f>
        <v>Wholesale</v>
      </c>
      <c r="R358" s="29">
        <f>SUM(Sales[quantity]*Sales[[#This Row],[unit_price_ngn]]*(1-Sales[[#This Row],[discount_pct]]))</f>
        <v>27500</v>
      </c>
      <c r="S358" s="29">
        <f>Sales[[#This Row],[revenue]]-(Sales[[#This Row],[quantity]]*Sales[[#This Row],[unit_cost_ngn]])</f>
        <v>11000</v>
      </c>
      <c r="T358" s="41" t="str">
        <f>TEXT(Sales[order_date], "yyyy-mm")</f>
        <v>2025-03</v>
      </c>
    </row>
    <row r="359" spans="1:20" ht="15" customHeight="1" x14ac:dyDescent="0.25">
      <c r="A359" s="10" t="s">
        <v>223</v>
      </c>
      <c r="B359" s="11">
        <v>45749</v>
      </c>
      <c r="C359" s="10" t="s">
        <v>54</v>
      </c>
      <c r="D359" s="10" t="s">
        <v>55</v>
      </c>
      <c r="E359" s="10" t="s">
        <v>45</v>
      </c>
      <c r="F359" s="10" t="s">
        <v>88</v>
      </c>
      <c r="G359" s="10" t="s">
        <v>89</v>
      </c>
      <c r="H359" s="10">
        <v>2</v>
      </c>
      <c r="I359" s="10">
        <v>6800</v>
      </c>
      <c r="J359" s="10">
        <v>3900</v>
      </c>
      <c r="K359" s="12">
        <v>0</v>
      </c>
      <c r="L359" s="10">
        <v>4</v>
      </c>
      <c r="M359" s="28" t="s">
        <v>140</v>
      </c>
      <c r="N359" s="29">
        <f>_xlfn.IFNA(VLOOKUP(Sales[customer_id],Cust[],11,FALSE),"Unknown")</f>
        <v>250000</v>
      </c>
      <c r="O359" s="29" t="str">
        <f>_xlfn.IFNA(VLOOKUP(Sales[customer_id], Cust[], 7,FALSE),"Unknown customer")</f>
        <v>Port Harcourt</v>
      </c>
      <c r="P359" s="29" t="str">
        <f>_xlfn.IFNA(VLOOKUP(Sales[[#This Row],[customer_id]],Cust[],4, FALSE),"Unknown customer")</f>
        <v>Gbenga Ojo</v>
      </c>
      <c r="Q359" s="29" t="str">
        <f>_xlfn.IFNA(VLOOKUP(Sales[[#This Row],[customer_id]], Cust[], 10, FALSE), "Unknown customer")</f>
        <v>Retail</v>
      </c>
      <c r="R359" s="29">
        <f>SUM(Sales[quantity]*Sales[[#This Row],[unit_price_ngn]]*(1-Sales[[#This Row],[discount_pct]]))</f>
        <v>13600</v>
      </c>
      <c r="S359" s="29">
        <f>Sales[[#This Row],[revenue]]-(Sales[[#This Row],[quantity]]*Sales[[#This Row],[unit_cost_ngn]])</f>
        <v>5800</v>
      </c>
      <c r="T359" s="41" t="str">
        <f>TEXT(Sales[order_date], "yyyy-mm")</f>
        <v>2025-04</v>
      </c>
    </row>
    <row r="360" spans="1:20" ht="15" customHeight="1" x14ac:dyDescent="0.25">
      <c r="A360" s="10" t="s">
        <v>224</v>
      </c>
      <c r="B360" s="11">
        <v>45750</v>
      </c>
      <c r="C360" s="10" t="s">
        <v>54</v>
      </c>
      <c r="D360" s="10" t="s">
        <v>55</v>
      </c>
      <c r="E360" s="10" t="s">
        <v>45</v>
      </c>
      <c r="F360" s="10" t="s">
        <v>78</v>
      </c>
      <c r="G360" s="10" t="s">
        <v>36</v>
      </c>
      <c r="H360" s="10">
        <v>4</v>
      </c>
      <c r="I360" s="10">
        <v>22000</v>
      </c>
      <c r="J360" s="10">
        <v>13800</v>
      </c>
      <c r="K360" s="12">
        <v>0</v>
      </c>
      <c r="L360" s="10">
        <v>2</v>
      </c>
      <c r="M360" s="28" t="s">
        <v>99</v>
      </c>
      <c r="N360" s="29">
        <f>_xlfn.IFNA(VLOOKUP(Sales[customer_id],Cust[],11,FALSE),"Unknown")</f>
        <v>150000</v>
      </c>
      <c r="O360" s="29" t="str">
        <f>_xlfn.IFNA(VLOOKUP(Sales[customer_id], Cust[], 7,FALSE),"Unknown customer")</f>
        <v>Port Harcourt</v>
      </c>
      <c r="P360" s="29" t="str">
        <f>_xlfn.IFNA(VLOOKUP(Sales[[#This Row],[customer_id]],Cust[],4, FALSE),"Unknown customer")</f>
        <v>Gbenga Okafor</v>
      </c>
      <c r="Q360" s="29" t="str">
        <f>_xlfn.IFNA(VLOOKUP(Sales[[#This Row],[customer_id]], Cust[], 10, FALSE), "Unknown customer")</f>
        <v>Retail</v>
      </c>
      <c r="R360" s="29">
        <f>SUM(Sales[quantity]*Sales[[#This Row],[unit_price_ngn]]*(1-Sales[[#This Row],[discount_pct]]))</f>
        <v>88000</v>
      </c>
      <c r="S360" s="29">
        <f>Sales[[#This Row],[revenue]]-(Sales[[#This Row],[quantity]]*Sales[[#This Row],[unit_cost_ngn]])</f>
        <v>32800</v>
      </c>
      <c r="T360" s="41" t="str">
        <f>TEXT(Sales[order_date], "yyyy-mm")</f>
        <v>2025-04</v>
      </c>
    </row>
    <row r="361" spans="1:20" ht="15" customHeight="1" x14ac:dyDescent="0.25">
      <c r="A361" s="10" t="s">
        <v>226</v>
      </c>
      <c r="B361" s="11">
        <v>45754</v>
      </c>
      <c r="C361" s="10" t="s">
        <v>54</v>
      </c>
      <c r="D361" s="10" t="s">
        <v>55</v>
      </c>
      <c r="E361" s="10" t="s">
        <v>34</v>
      </c>
      <c r="F361" s="10" t="s">
        <v>35</v>
      </c>
      <c r="G361" s="10" t="s">
        <v>36</v>
      </c>
      <c r="H361" s="10">
        <v>3</v>
      </c>
      <c r="I361" s="10">
        <v>18500</v>
      </c>
      <c r="J361" s="10">
        <v>11800</v>
      </c>
      <c r="K361" s="12">
        <v>0</v>
      </c>
      <c r="L361" s="10">
        <v>1</v>
      </c>
      <c r="M361" s="28" t="s">
        <v>227</v>
      </c>
      <c r="N361" s="29">
        <f>_xlfn.IFNA(VLOOKUP(Sales[customer_id],Cust[],11,FALSE),"Unknown")</f>
        <v>500000</v>
      </c>
      <c r="O361" s="29" t="str">
        <f>_xlfn.IFNA(VLOOKUP(Sales[customer_id], Cust[], 7,FALSE),"Unknown customer")</f>
        <v>Port Harcourt</v>
      </c>
      <c r="P361" s="29" t="str">
        <f>_xlfn.IFNA(VLOOKUP(Sales[[#This Row],[customer_id]],Cust[],4, FALSE),"Unknown customer")</f>
        <v>Ijeoma Fashola</v>
      </c>
      <c r="Q361" s="29" t="str">
        <f>_xlfn.IFNA(VLOOKUP(Sales[[#This Row],[customer_id]], Cust[], 10, FALSE), "Unknown customer")</f>
        <v>Retail</v>
      </c>
      <c r="R361" s="29">
        <f>SUM(Sales[quantity]*Sales[[#This Row],[unit_price_ngn]]*(1-Sales[[#This Row],[discount_pct]]))</f>
        <v>55500</v>
      </c>
      <c r="S361" s="29">
        <f>Sales[[#This Row],[revenue]]-(Sales[[#This Row],[quantity]]*Sales[[#This Row],[unit_cost_ngn]])</f>
        <v>20100</v>
      </c>
      <c r="T361" s="41" t="str">
        <f>TEXT(Sales[order_date], "yyyy-mm")</f>
        <v>2025-04</v>
      </c>
    </row>
    <row r="362" spans="1:20" ht="15" customHeight="1" x14ac:dyDescent="0.25">
      <c r="A362" s="10" t="s">
        <v>243</v>
      </c>
      <c r="B362" s="11">
        <v>45759</v>
      </c>
      <c r="C362" s="10" t="s">
        <v>54</v>
      </c>
      <c r="D362" s="10" t="s">
        <v>55</v>
      </c>
      <c r="E362" s="10" t="s">
        <v>34</v>
      </c>
      <c r="F362" s="10" t="s">
        <v>199</v>
      </c>
      <c r="G362" s="10" t="s">
        <v>36</v>
      </c>
      <c r="H362" s="10">
        <v>4</v>
      </c>
      <c r="I362" s="10">
        <v>15500</v>
      </c>
      <c r="J362" s="10">
        <v>9900</v>
      </c>
      <c r="K362" s="12">
        <v>0</v>
      </c>
      <c r="L362" s="10">
        <v>1</v>
      </c>
      <c r="M362" s="28" t="s">
        <v>140</v>
      </c>
      <c r="N362" s="29">
        <f>_xlfn.IFNA(VLOOKUP(Sales[customer_id],Cust[],11,FALSE),"Unknown")</f>
        <v>250000</v>
      </c>
      <c r="O362" s="29" t="str">
        <f>_xlfn.IFNA(VLOOKUP(Sales[customer_id], Cust[], 7,FALSE),"Unknown customer")</f>
        <v>Port Harcourt</v>
      </c>
      <c r="P362" s="29" t="str">
        <f>_xlfn.IFNA(VLOOKUP(Sales[[#This Row],[customer_id]],Cust[],4, FALSE),"Unknown customer")</f>
        <v>Gbenga Ojo</v>
      </c>
      <c r="Q362" s="29" t="str">
        <f>_xlfn.IFNA(VLOOKUP(Sales[[#This Row],[customer_id]], Cust[], 10, FALSE), "Unknown customer")</f>
        <v>Retail</v>
      </c>
      <c r="R362" s="29">
        <f>SUM(Sales[quantity]*Sales[[#This Row],[unit_price_ngn]]*(1-Sales[[#This Row],[discount_pct]]))</f>
        <v>62000</v>
      </c>
      <c r="S362" s="29">
        <f>Sales[[#This Row],[revenue]]-(Sales[[#This Row],[quantity]]*Sales[[#This Row],[unit_cost_ngn]])</f>
        <v>22400</v>
      </c>
      <c r="T362" s="41" t="str">
        <f>TEXT(Sales[order_date], "yyyy-mm")</f>
        <v>2025-04</v>
      </c>
    </row>
    <row r="363" spans="1:20" ht="15" customHeight="1" x14ac:dyDescent="0.25">
      <c r="A363" s="10" t="s">
        <v>286</v>
      </c>
      <c r="B363" s="11">
        <v>45783</v>
      </c>
      <c r="C363" s="10" t="s">
        <v>54</v>
      </c>
      <c r="D363" s="10" t="s">
        <v>55</v>
      </c>
      <c r="E363" s="10" t="s">
        <v>34</v>
      </c>
      <c r="F363" s="10" t="s">
        <v>78</v>
      </c>
      <c r="G363" s="10" t="s">
        <v>36</v>
      </c>
      <c r="H363" s="10">
        <v>3</v>
      </c>
      <c r="I363" s="10">
        <v>22000</v>
      </c>
      <c r="J363" s="10">
        <v>13800</v>
      </c>
      <c r="K363" s="12">
        <v>0.1</v>
      </c>
      <c r="L363" s="10">
        <v>5</v>
      </c>
      <c r="M363" s="28" t="s">
        <v>58</v>
      </c>
      <c r="N363" s="29">
        <f>_xlfn.IFNA(VLOOKUP(Sales[customer_id],Cust[],11,FALSE),"Unknown")</f>
        <v>50000</v>
      </c>
      <c r="O363" s="29" t="str">
        <f>_xlfn.IFNA(VLOOKUP(Sales[customer_id], Cust[], 7,FALSE),"Unknown customer")</f>
        <v>Port Harcourt</v>
      </c>
      <c r="P363" s="29" t="str">
        <f>_xlfn.IFNA(VLOOKUP(Sales[[#This Row],[customer_id]],Cust[],4, FALSE),"Unknown customer")</f>
        <v>Sadiq Iheanacho</v>
      </c>
      <c r="Q363" s="29" t="str">
        <f>_xlfn.IFNA(VLOOKUP(Sales[[#This Row],[customer_id]], Cust[], 10, FALSE), "Unknown customer")</f>
        <v>Retail</v>
      </c>
      <c r="R363" s="29">
        <f>SUM(Sales[quantity]*Sales[[#This Row],[unit_price_ngn]]*(1-Sales[[#This Row],[discount_pct]]))</f>
        <v>59400</v>
      </c>
      <c r="S363" s="29">
        <f>Sales[[#This Row],[revenue]]-(Sales[[#This Row],[quantity]]*Sales[[#This Row],[unit_cost_ngn]])</f>
        <v>18000</v>
      </c>
      <c r="T363" s="41" t="str">
        <f>TEXT(Sales[order_date], "yyyy-mm")</f>
        <v>2025-05</v>
      </c>
    </row>
    <row r="364" spans="1:20" ht="15" customHeight="1" x14ac:dyDescent="0.25">
      <c r="A364" s="10" t="s">
        <v>289</v>
      </c>
      <c r="B364" s="11">
        <v>45787</v>
      </c>
      <c r="C364" s="10" t="s">
        <v>54</v>
      </c>
      <c r="D364" s="10" t="s">
        <v>55</v>
      </c>
      <c r="E364" s="10" t="s">
        <v>45</v>
      </c>
      <c r="F364" s="10" t="s">
        <v>69</v>
      </c>
      <c r="G364" s="10" t="s">
        <v>66</v>
      </c>
      <c r="H364" s="10">
        <v>1</v>
      </c>
      <c r="I364" s="10">
        <v>32000</v>
      </c>
      <c r="J364" s="10">
        <v>21000</v>
      </c>
      <c r="K364" s="12">
        <v>0</v>
      </c>
      <c r="L364" s="10">
        <v>1</v>
      </c>
      <c r="M364" s="28" t="s">
        <v>218</v>
      </c>
      <c r="N364" s="29">
        <f>_xlfn.IFNA(VLOOKUP(Sales[customer_id],Cust[],11,FALSE),"Unknown")</f>
        <v>150000</v>
      </c>
      <c r="O364" s="29" t="str">
        <f>_xlfn.IFNA(VLOOKUP(Sales[customer_id], Cust[], 7,FALSE),"Unknown customer")</f>
        <v>Port Harcourt</v>
      </c>
      <c r="P364" s="29" t="str">
        <f>_xlfn.IFNA(VLOOKUP(Sales[[#This Row],[customer_id]],Cust[],4, FALSE),"Unknown customer")</f>
        <v>Bola Kalu</v>
      </c>
      <c r="Q364" s="29" t="str">
        <f>_xlfn.IFNA(VLOOKUP(Sales[[#This Row],[customer_id]], Cust[], 10, FALSE), "Unknown customer")</f>
        <v>Wholesale</v>
      </c>
      <c r="R364" s="29">
        <f>SUM(Sales[quantity]*Sales[[#This Row],[unit_price_ngn]]*(1-Sales[[#This Row],[discount_pct]]))</f>
        <v>32000</v>
      </c>
      <c r="S364" s="29">
        <f>Sales[[#This Row],[revenue]]-(Sales[[#This Row],[quantity]]*Sales[[#This Row],[unit_cost_ngn]])</f>
        <v>11000</v>
      </c>
      <c r="T364" s="41" t="str">
        <f>TEXT(Sales[order_date], "yyyy-mm")</f>
        <v>2025-05</v>
      </c>
    </row>
    <row r="365" spans="1:20" ht="15" customHeight="1" x14ac:dyDescent="0.25">
      <c r="A365" s="10" t="s">
        <v>300</v>
      </c>
      <c r="B365" s="11">
        <v>45795</v>
      </c>
      <c r="C365" s="10" t="s">
        <v>54</v>
      </c>
      <c r="D365" s="10" t="s">
        <v>55</v>
      </c>
      <c r="E365" s="10" t="s">
        <v>45</v>
      </c>
      <c r="F365" s="10" t="s">
        <v>46</v>
      </c>
      <c r="G365" s="10" t="s">
        <v>47</v>
      </c>
      <c r="H365" s="10">
        <v>1</v>
      </c>
      <c r="I365" s="10">
        <v>9800</v>
      </c>
      <c r="J365" s="10">
        <v>7600</v>
      </c>
      <c r="K365" s="12">
        <v>0</v>
      </c>
      <c r="L365" s="10">
        <v>4</v>
      </c>
      <c r="M365" s="28" t="s">
        <v>140</v>
      </c>
      <c r="N365" s="29">
        <f>_xlfn.IFNA(VLOOKUP(Sales[customer_id],Cust[],11,FALSE),"Unknown")</f>
        <v>250000</v>
      </c>
      <c r="O365" s="29" t="str">
        <f>_xlfn.IFNA(VLOOKUP(Sales[customer_id], Cust[], 7,FALSE),"Unknown customer")</f>
        <v>Port Harcourt</v>
      </c>
      <c r="P365" s="29" t="str">
        <f>_xlfn.IFNA(VLOOKUP(Sales[[#This Row],[customer_id]],Cust[],4, FALSE),"Unknown customer")</f>
        <v>Gbenga Ojo</v>
      </c>
      <c r="Q365" s="29" t="str">
        <f>_xlfn.IFNA(VLOOKUP(Sales[[#This Row],[customer_id]], Cust[], 10, FALSE), "Unknown customer")</f>
        <v>Retail</v>
      </c>
      <c r="R365" s="29">
        <f>SUM(Sales[quantity]*Sales[[#This Row],[unit_price_ngn]]*(1-Sales[[#This Row],[discount_pct]]))</f>
        <v>9800</v>
      </c>
      <c r="S365" s="29">
        <f>Sales[[#This Row],[revenue]]-(Sales[[#This Row],[quantity]]*Sales[[#This Row],[unit_cost_ngn]])</f>
        <v>2200</v>
      </c>
      <c r="T365" s="41" t="str">
        <f>TEXT(Sales[order_date], "yyyy-mm")</f>
        <v>2025-05</v>
      </c>
    </row>
    <row r="366" spans="1:20" ht="15" customHeight="1" x14ac:dyDescent="0.25">
      <c r="A366" s="10" t="s">
        <v>304</v>
      </c>
      <c r="B366" s="11">
        <v>45799</v>
      </c>
      <c r="C366" s="10" t="s">
        <v>54</v>
      </c>
      <c r="D366" s="10" t="s">
        <v>55</v>
      </c>
      <c r="E366" s="10" t="s">
        <v>75</v>
      </c>
      <c r="F366" s="10" t="s">
        <v>101</v>
      </c>
      <c r="G366" s="10" t="s">
        <v>61</v>
      </c>
      <c r="H366" s="10">
        <v>5</v>
      </c>
      <c r="I366" s="10">
        <v>28000</v>
      </c>
      <c r="J366" s="10">
        <v>18500</v>
      </c>
      <c r="K366" s="12">
        <v>0</v>
      </c>
      <c r="L366" s="10">
        <v>3</v>
      </c>
      <c r="M366" s="28" t="s">
        <v>305</v>
      </c>
      <c r="N366" s="29">
        <f>_xlfn.IFNA(VLOOKUP(Sales[customer_id],Cust[],11,FALSE),"Unknown")</f>
        <v>250000</v>
      </c>
      <c r="O366" s="29" t="str">
        <f>_xlfn.IFNA(VLOOKUP(Sales[customer_id], Cust[], 7,FALSE),"Unknown customer")</f>
        <v>Port Harcourt</v>
      </c>
      <c r="P366" s="29" t="str">
        <f>_xlfn.IFNA(VLOOKUP(Sales[[#This Row],[customer_id]],Cust[],4, FALSE),"Unknown customer")</f>
        <v>Blessing Sanni</v>
      </c>
      <c r="Q366" s="29" t="str">
        <f>_xlfn.IFNA(VLOOKUP(Sales[[#This Row],[customer_id]], Cust[], 10, FALSE), "Unknown customer")</f>
        <v>Retail</v>
      </c>
      <c r="R366" s="29">
        <f>SUM(Sales[quantity]*Sales[[#This Row],[unit_price_ngn]]*(1-Sales[[#This Row],[discount_pct]]))</f>
        <v>140000</v>
      </c>
      <c r="S366" s="29">
        <f>Sales[[#This Row],[revenue]]-(Sales[[#This Row],[quantity]]*Sales[[#This Row],[unit_cost_ngn]])</f>
        <v>47500</v>
      </c>
      <c r="T366" s="41" t="str">
        <f>TEXT(Sales[order_date], "yyyy-mm")</f>
        <v>2025-05</v>
      </c>
    </row>
    <row r="367" spans="1:20" ht="15" customHeight="1" x14ac:dyDescent="0.25">
      <c r="A367" s="10" t="s">
        <v>325</v>
      </c>
      <c r="B367" s="11">
        <v>45811</v>
      </c>
      <c r="C367" s="10" t="s">
        <v>54</v>
      </c>
      <c r="D367" s="10" t="s">
        <v>55</v>
      </c>
      <c r="E367" s="10" t="s">
        <v>56</v>
      </c>
      <c r="F367" s="10" t="s">
        <v>65</v>
      </c>
      <c r="G367" s="10" t="s">
        <v>66</v>
      </c>
      <c r="H367" s="10">
        <v>8</v>
      </c>
      <c r="I367" s="10">
        <v>24000</v>
      </c>
      <c r="J367" s="10">
        <v>14500</v>
      </c>
      <c r="K367" s="12">
        <v>0</v>
      </c>
      <c r="L367" s="10">
        <v>2</v>
      </c>
      <c r="M367" s="28" t="s">
        <v>143</v>
      </c>
      <c r="N367" s="29">
        <f>_xlfn.IFNA(VLOOKUP(Sales[customer_id],Cust[],11,FALSE),"Unknown")</f>
        <v>250000</v>
      </c>
      <c r="O367" s="29" t="str">
        <f>_xlfn.IFNA(VLOOKUP(Sales[customer_id], Cust[], 7,FALSE),"Unknown customer")</f>
        <v>Port Harcourt</v>
      </c>
      <c r="P367" s="29" t="str">
        <f>_xlfn.IFNA(VLOOKUP(Sales[[#This Row],[customer_id]],Cust[],4, FALSE),"Unknown customer")</f>
        <v>Bashir Ibrahim</v>
      </c>
      <c r="Q367" s="29" t="str">
        <f>_xlfn.IFNA(VLOOKUP(Sales[[#This Row],[customer_id]], Cust[], 10, FALSE), "Unknown customer")</f>
        <v>Corporate</v>
      </c>
      <c r="R367" s="29">
        <f>SUM(Sales[quantity]*Sales[[#This Row],[unit_price_ngn]]*(1-Sales[[#This Row],[discount_pct]]))</f>
        <v>192000</v>
      </c>
      <c r="S367" s="29">
        <f>Sales[[#This Row],[revenue]]-(Sales[[#This Row],[quantity]]*Sales[[#This Row],[unit_cost_ngn]])</f>
        <v>76000</v>
      </c>
      <c r="T367" s="41" t="str">
        <f>TEXT(Sales[order_date], "yyyy-mm")</f>
        <v>2025-06</v>
      </c>
    </row>
    <row r="368" spans="1:20" ht="15" customHeight="1" x14ac:dyDescent="0.25">
      <c r="A368" s="10" t="s">
        <v>328</v>
      </c>
      <c r="B368" s="11">
        <v>45812</v>
      </c>
      <c r="C368" s="10" t="s">
        <v>54</v>
      </c>
      <c r="D368" s="10" t="s">
        <v>55</v>
      </c>
      <c r="E368" s="10" t="s">
        <v>56</v>
      </c>
      <c r="F368" s="10" t="s">
        <v>78</v>
      </c>
      <c r="G368" s="10" t="s">
        <v>36</v>
      </c>
      <c r="H368" s="10">
        <v>1</v>
      </c>
      <c r="I368" s="10">
        <v>22000</v>
      </c>
      <c r="J368" s="10">
        <v>13800</v>
      </c>
      <c r="K368" s="12">
        <v>0</v>
      </c>
      <c r="L368" s="10">
        <v>1</v>
      </c>
      <c r="M368" s="28" t="s">
        <v>140</v>
      </c>
      <c r="N368" s="29">
        <f>_xlfn.IFNA(VLOOKUP(Sales[customer_id],Cust[],11,FALSE),"Unknown")</f>
        <v>250000</v>
      </c>
      <c r="O368" s="29" t="str">
        <f>_xlfn.IFNA(VLOOKUP(Sales[customer_id], Cust[], 7,FALSE),"Unknown customer")</f>
        <v>Port Harcourt</v>
      </c>
      <c r="P368" s="29" t="str">
        <f>_xlfn.IFNA(VLOOKUP(Sales[[#This Row],[customer_id]],Cust[],4, FALSE),"Unknown customer")</f>
        <v>Gbenga Ojo</v>
      </c>
      <c r="Q368" s="29" t="str">
        <f>_xlfn.IFNA(VLOOKUP(Sales[[#This Row],[customer_id]], Cust[], 10, FALSE), "Unknown customer")</f>
        <v>Retail</v>
      </c>
      <c r="R368" s="29">
        <f>SUM(Sales[quantity]*Sales[[#This Row],[unit_price_ngn]]*(1-Sales[[#This Row],[discount_pct]]))</f>
        <v>22000</v>
      </c>
      <c r="S368" s="29">
        <f>Sales[[#This Row],[revenue]]-(Sales[[#This Row],[quantity]]*Sales[[#This Row],[unit_cost_ngn]])</f>
        <v>8200</v>
      </c>
      <c r="T368" s="41" t="str">
        <f>TEXT(Sales[order_date], "yyyy-mm")</f>
        <v>2025-06</v>
      </c>
    </row>
    <row r="369" spans="1:20" ht="15" customHeight="1" x14ac:dyDescent="0.25">
      <c r="A369" s="10" t="s">
        <v>331</v>
      </c>
      <c r="B369" s="11">
        <v>45814</v>
      </c>
      <c r="C369" s="10" t="s">
        <v>54</v>
      </c>
      <c r="D369" s="10" t="s">
        <v>55</v>
      </c>
      <c r="E369" s="10" t="s">
        <v>45</v>
      </c>
      <c r="F369" s="10" t="s">
        <v>57</v>
      </c>
      <c r="G369" s="10" t="s">
        <v>51</v>
      </c>
      <c r="H369" s="10">
        <v>5</v>
      </c>
      <c r="I369" s="10">
        <v>27500</v>
      </c>
      <c r="J369" s="10">
        <v>16500</v>
      </c>
      <c r="K369" s="12">
        <v>0</v>
      </c>
      <c r="L369" s="10">
        <v>4</v>
      </c>
      <c r="M369" s="28" t="s">
        <v>218</v>
      </c>
      <c r="N369" s="29">
        <f>_xlfn.IFNA(VLOOKUP(Sales[customer_id],Cust[],11,FALSE),"Unknown")</f>
        <v>150000</v>
      </c>
      <c r="O369" s="29" t="str">
        <f>_xlfn.IFNA(VLOOKUP(Sales[customer_id], Cust[], 7,FALSE),"Unknown customer")</f>
        <v>Port Harcourt</v>
      </c>
      <c r="P369" s="29" t="str">
        <f>_xlfn.IFNA(VLOOKUP(Sales[[#This Row],[customer_id]],Cust[],4, FALSE),"Unknown customer")</f>
        <v>Bola Kalu</v>
      </c>
      <c r="Q369" s="29" t="str">
        <f>_xlfn.IFNA(VLOOKUP(Sales[[#This Row],[customer_id]], Cust[], 10, FALSE), "Unknown customer")</f>
        <v>Wholesale</v>
      </c>
      <c r="R369" s="29">
        <f>SUM(Sales[quantity]*Sales[[#This Row],[unit_price_ngn]]*(1-Sales[[#This Row],[discount_pct]]))</f>
        <v>137500</v>
      </c>
      <c r="S369" s="29">
        <f>Sales[[#This Row],[revenue]]-(Sales[[#This Row],[quantity]]*Sales[[#This Row],[unit_cost_ngn]])</f>
        <v>55000</v>
      </c>
      <c r="T369" s="41" t="str">
        <f>TEXT(Sales[order_date], "yyyy-mm")</f>
        <v>2025-06</v>
      </c>
    </row>
    <row r="370" spans="1:20" ht="15" customHeight="1" x14ac:dyDescent="0.25">
      <c r="A370" s="10" t="s">
        <v>354</v>
      </c>
      <c r="B370" s="11">
        <v>45830</v>
      </c>
      <c r="C370" s="10" t="s">
        <v>54</v>
      </c>
      <c r="D370" s="10" t="s">
        <v>55</v>
      </c>
      <c r="E370" s="10" t="s">
        <v>75</v>
      </c>
      <c r="F370" s="10" t="s">
        <v>60</v>
      </c>
      <c r="G370" s="10" t="s">
        <v>61</v>
      </c>
      <c r="H370" s="10">
        <v>4</v>
      </c>
      <c r="I370" s="10">
        <v>12000</v>
      </c>
      <c r="J370" s="10">
        <v>7200</v>
      </c>
      <c r="K370" s="12">
        <v>0</v>
      </c>
      <c r="L370" s="10">
        <v>3</v>
      </c>
      <c r="M370" s="28" t="s">
        <v>355</v>
      </c>
      <c r="N370" s="29">
        <f>_xlfn.IFNA(VLOOKUP(Sales[customer_id],Cust[],11,FALSE),"Unknown")</f>
        <v>50000</v>
      </c>
      <c r="O370" s="29" t="str">
        <f>_xlfn.IFNA(VLOOKUP(Sales[customer_id], Cust[], 7,FALSE),"Unknown customer")</f>
        <v>Port Harcourt</v>
      </c>
      <c r="P370" s="29" t="str">
        <f>_xlfn.IFNA(VLOOKUP(Sales[[#This Row],[customer_id]],Cust[],4, FALSE),"Unknown customer")</f>
        <v>Adaeze Musa</v>
      </c>
      <c r="Q370" s="29" t="str">
        <f>_xlfn.IFNA(VLOOKUP(Sales[[#This Row],[customer_id]], Cust[], 10, FALSE), "Unknown customer")</f>
        <v>Retail</v>
      </c>
      <c r="R370" s="29">
        <f>SUM(Sales[quantity]*Sales[[#This Row],[unit_price_ngn]]*(1-Sales[[#This Row],[discount_pct]]))</f>
        <v>48000</v>
      </c>
      <c r="S370" s="29">
        <f>Sales[[#This Row],[revenue]]-(Sales[[#This Row],[quantity]]*Sales[[#This Row],[unit_cost_ngn]])</f>
        <v>19200</v>
      </c>
      <c r="T370" s="41" t="str">
        <f>TEXT(Sales[order_date], "yyyy-mm")</f>
        <v>2025-06</v>
      </c>
    </row>
    <row r="371" spans="1:20" ht="15" customHeight="1" x14ac:dyDescent="0.25">
      <c r="A371" s="10" t="s">
        <v>359</v>
      </c>
      <c r="B371" s="11">
        <v>45833</v>
      </c>
      <c r="C371" s="10" t="s">
        <v>54</v>
      </c>
      <c r="D371" s="10" t="s">
        <v>55</v>
      </c>
      <c r="E371" s="10" t="s">
        <v>34</v>
      </c>
      <c r="F371" s="10" t="s">
        <v>46</v>
      </c>
      <c r="G371" s="10" t="s">
        <v>47</v>
      </c>
      <c r="H371" s="10">
        <v>1</v>
      </c>
      <c r="I371" s="10">
        <v>9800</v>
      </c>
      <c r="J371" s="10">
        <v>7600</v>
      </c>
      <c r="K371" s="12">
        <v>0</v>
      </c>
      <c r="L371" s="10">
        <v>1</v>
      </c>
      <c r="M371" s="28" t="s">
        <v>152</v>
      </c>
      <c r="N371" s="29">
        <f>_xlfn.IFNA(VLOOKUP(Sales[customer_id],Cust[],11,FALSE),"Unknown")</f>
        <v>100000</v>
      </c>
      <c r="O371" s="29" t="str">
        <f>_xlfn.IFNA(VLOOKUP(Sales[customer_id], Cust[], 7,FALSE),"Unknown customer")</f>
        <v>Port Harcourt</v>
      </c>
      <c r="P371" s="29" t="str">
        <f>_xlfn.IFNA(VLOOKUP(Sales[[#This Row],[customer_id]],Cust[],4, FALSE),"Unknown customer")</f>
        <v>Maryam Oyelaran</v>
      </c>
      <c r="Q371" s="29" t="str">
        <f>_xlfn.IFNA(VLOOKUP(Sales[[#This Row],[customer_id]], Cust[], 10, FALSE), "Unknown customer")</f>
        <v>Corporate</v>
      </c>
      <c r="R371" s="29">
        <f>SUM(Sales[quantity]*Sales[[#This Row],[unit_price_ngn]]*(1-Sales[[#This Row],[discount_pct]]))</f>
        <v>9800</v>
      </c>
      <c r="S371" s="29">
        <f>Sales[[#This Row],[revenue]]-(Sales[[#This Row],[quantity]]*Sales[[#This Row],[unit_cost_ngn]])</f>
        <v>2200</v>
      </c>
      <c r="T371" s="41" t="str">
        <f>TEXT(Sales[order_date], "yyyy-mm")</f>
        <v>2025-06</v>
      </c>
    </row>
    <row r="372" spans="1:20" ht="15" customHeight="1" x14ac:dyDescent="0.25">
      <c r="A372" s="10" t="s">
        <v>383</v>
      </c>
      <c r="B372" s="11">
        <v>45848</v>
      </c>
      <c r="C372" s="10" t="s">
        <v>54</v>
      </c>
      <c r="D372" s="10" t="s">
        <v>55</v>
      </c>
      <c r="E372" s="10" t="s">
        <v>75</v>
      </c>
      <c r="F372" s="10" t="s">
        <v>72</v>
      </c>
      <c r="G372" s="10" t="s">
        <v>47</v>
      </c>
      <c r="H372" s="10">
        <v>1</v>
      </c>
      <c r="I372" s="10">
        <v>46000</v>
      </c>
      <c r="J372" s="10">
        <v>39000</v>
      </c>
      <c r="K372" s="12">
        <v>0</v>
      </c>
      <c r="L372" s="10">
        <v>2</v>
      </c>
      <c r="M372" s="28" t="s">
        <v>355</v>
      </c>
      <c r="N372" s="29">
        <f>_xlfn.IFNA(VLOOKUP(Sales[customer_id],Cust[],11,FALSE),"Unknown")</f>
        <v>50000</v>
      </c>
      <c r="O372" s="29" t="str">
        <f>_xlfn.IFNA(VLOOKUP(Sales[customer_id], Cust[], 7,FALSE),"Unknown customer")</f>
        <v>Port Harcourt</v>
      </c>
      <c r="P372" s="29" t="str">
        <f>_xlfn.IFNA(VLOOKUP(Sales[[#This Row],[customer_id]],Cust[],4, FALSE),"Unknown customer")</f>
        <v>Adaeze Musa</v>
      </c>
      <c r="Q372" s="29" t="str">
        <f>_xlfn.IFNA(VLOOKUP(Sales[[#This Row],[customer_id]], Cust[], 10, FALSE), "Unknown customer")</f>
        <v>Retail</v>
      </c>
      <c r="R372" s="29">
        <f>SUM(Sales[quantity]*Sales[[#This Row],[unit_price_ngn]]*(1-Sales[[#This Row],[discount_pct]]))</f>
        <v>46000</v>
      </c>
      <c r="S372" s="29">
        <f>Sales[[#This Row],[revenue]]-(Sales[[#This Row],[quantity]]*Sales[[#This Row],[unit_cost_ngn]])</f>
        <v>7000</v>
      </c>
      <c r="T372" s="41" t="str">
        <f>TEXT(Sales[order_date], "yyyy-mm")</f>
        <v>2025-07</v>
      </c>
    </row>
    <row r="373" spans="1:20" ht="15" customHeight="1" x14ac:dyDescent="0.25">
      <c r="A373" s="10" t="s">
        <v>386</v>
      </c>
      <c r="B373" s="11">
        <v>45852</v>
      </c>
      <c r="C373" s="10" t="s">
        <v>54</v>
      </c>
      <c r="D373" s="10" t="s">
        <v>55</v>
      </c>
      <c r="E373" s="10" t="s">
        <v>34</v>
      </c>
      <c r="F373" s="10" t="s">
        <v>69</v>
      </c>
      <c r="G373" s="10" t="s">
        <v>66</v>
      </c>
      <c r="H373" s="10">
        <v>2</v>
      </c>
      <c r="I373" s="10">
        <v>32000</v>
      </c>
      <c r="J373" s="10">
        <v>21000</v>
      </c>
      <c r="K373" s="12">
        <v>0</v>
      </c>
      <c r="L373" s="10">
        <v>1</v>
      </c>
      <c r="M373" s="28" t="s">
        <v>140</v>
      </c>
      <c r="N373" s="29">
        <f>_xlfn.IFNA(VLOOKUP(Sales[customer_id],Cust[],11,FALSE),"Unknown")</f>
        <v>250000</v>
      </c>
      <c r="O373" s="29" t="str">
        <f>_xlfn.IFNA(VLOOKUP(Sales[customer_id], Cust[], 7,FALSE),"Unknown customer")</f>
        <v>Port Harcourt</v>
      </c>
      <c r="P373" s="29" t="str">
        <f>_xlfn.IFNA(VLOOKUP(Sales[[#This Row],[customer_id]],Cust[],4, FALSE),"Unknown customer")</f>
        <v>Gbenga Ojo</v>
      </c>
      <c r="Q373" s="29" t="str">
        <f>_xlfn.IFNA(VLOOKUP(Sales[[#This Row],[customer_id]], Cust[], 10, FALSE), "Unknown customer")</f>
        <v>Retail</v>
      </c>
      <c r="R373" s="29">
        <f>SUM(Sales[quantity]*Sales[[#This Row],[unit_price_ngn]]*(1-Sales[[#This Row],[discount_pct]]))</f>
        <v>64000</v>
      </c>
      <c r="S373" s="29">
        <f>Sales[[#This Row],[revenue]]-(Sales[[#This Row],[quantity]]*Sales[[#This Row],[unit_cost_ngn]])</f>
        <v>22000</v>
      </c>
      <c r="T373" s="41" t="str">
        <f>TEXT(Sales[order_date], "yyyy-mm")</f>
        <v>2025-07</v>
      </c>
    </row>
    <row r="374" spans="1:20" ht="15" customHeight="1" x14ac:dyDescent="0.25">
      <c r="A374" s="10" t="s">
        <v>391</v>
      </c>
      <c r="B374" s="11">
        <v>45855</v>
      </c>
      <c r="C374" s="10" t="s">
        <v>54</v>
      </c>
      <c r="D374" s="10" t="s">
        <v>55</v>
      </c>
      <c r="E374" s="10" t="s">
        <v>56</v>
      </c>
      <c r="F374" s="10" t="s">
        <v>46</v>
      </c>
      <c r="G374" s="10" t="s">
        <v>47</v>
      </c>
      <c r="H374" s="10">
        <v>5</v>
      </c>
      <c r="I374" s="10">
        <v>9800</v>
      </c>
      <c r="J374" s="10">
        <v>7600</v>
      </c>
      <c r="K374" s="12">
        <v>0</v>
      </c>
      <c r="L374" s="10">
        <v>2</v>
      </c>
      <c r="M374" s="28" t="s">
        <v>205</v>
      </c>
      <c r="N374" s="29">
        <f>_xlfn.IFNA(VLOOKUP(Sales[customer_id],Cust[],11,FALSE),"Unknown")</f>
        <v>50000</v>
      </c>
      <c r="O374" s="29" t="str">
        <f>_xlfn.IFNA(VLOOKUP(Sales[customer_id], Cust[], 7,FALSE),"Unknown customer")</f>
        <v>Port Harcourt</v>
      </c>
      <c r="P374" s="29" t="str">
        <f>_xlfn.IFNA(VLOOKUP(Sales[[#This Row],[customer_id]],Cust[],4, FALSE),"Unknown customer")</f>
        <v>Kelechi Balogun</v>
      </c>
      <c r="Q374" s="29" t="str">
        <f>_xlfn.IFNA(VLOOKUP(Sales[[#This Row],[customer_id]], Cust[], 10, FALSE), "Unknown customer")</f>
        <v>Retail</v>
      </c>
      <c r="R374" s="29">
        <f>SUM(Sales[quantity]*Sales[[#This Row],[unit_price_ngn]]*(1-Sales[[#This Row],[discount_pct]]))</f>
        <v>49000</v>
      </c>
      <c r="S374" s="29">
        <f>Sales[[#This Row],[revenue]]-(Sales[[#This Row],[quantity]]*Sales[[#This Row],[unit_cost_ngn]])</f>
        <v>11000</v>
      </c>
      <c r="T374" s="41" t="str">
        <f>TEXT(Sales[order_date], "yyyy-mm")</f>
        <v>2025-07</v>
      </c>
    </row>
    <row r="375" spans="1:20" ht="15" customHeight="1" x14ac:dyDescent="0.25">
      <c r="A375" s="10" t="s">
        <v>395</v>
      </c>
      <c r="B375" s="11">
        <v>45857</v>
      </c>
      <c r="C375" s="10" t="s">
        <v>54</v>
      </c>
      <c r="D375" s="10" t="s">
        <v>55</v>
      </c>
      <c r="E375" s="10" t="s">
        <v>75</v>
      </c>
      <c r="F375" s="10" t="s">
        <v>72</v>
      </c>
      <c r="G375" s="10" t="s">
        <v>47</v>
      </c>
      <c r="H375" s="10">
        <v>1</v>
      </c>
      <c r="I375" s="10">
        <v>46000</v>
      </c>
      <c r="J375" s="10">
        <v>39000</v>
      </c>
      <c r="K375" s="12">
        <v>0</v>
      </c>
      <c r="L375" s="10">
        <v>3</v>
      </c>
      <c r="M375" s="28" t="s">
        <v>396</v>
      </c>
      <c r="N375" s="29">
        <f>_xlfn.IFNA(VLOOKUP(Sales[customer_id],Cust[],11,FALSE),"Unknown")</f>
        <v>250000</v>
      </c>
      <c r="O375" s="29" t="str">
        <f>_xlfn.IFNA(VLOOKUP(Sales[customer_id], Cust[], 7,FALSE),"Unknown customer")</f>
        <v>Port Harcourt</v>
      </c>
      <c r="P375" s="29" t="str">
        <f>_xlfn.IFNA(VLOOKUP(Sales[[#This Row],[customer_id]],Cust[],4, FALSE),"Unknown customer")</f>
        <v>Tunde Kalu</v>
      </c>
      <c r="Q375" s="29" t="str">
        <f>_xlfn.IFNA(VLOOKUP(Sales[[#This Row],[customer_id]], Cust[], 10, FALSE), "Unknown customer")</f>
        <v>Retail</v>
      </c>
      <c r="R375" s="29">
        <f>SUM(Sales[quantity]*Sales[[#This Row],[unit_price_ngn]]*(1-Sales[[#This Row],[discount_pct]]))</f>
        <v>46000</v>
      </c>
      <c r="S375" s="29">
        <f>Sales[[#This Row],[revenue]]-(Sales[[#This Row],[quantity]]*Sales[[#This Row],[unit_cost_ngn]])</f>
        <v>7000</v>
      </c>
      <c r="T375" s="41" t="str">
        <f>TEXT(Sales[order_date], "yyyy-mm")</f>
        <v>2025-07</v>
      </c>
    </row>
    <row r="376" spans="1:20" ht="15" customHeight="1" x14ac:dyDescent="0.25">
      <c r="A376" s="10" t="s">
        <v>401</v>
      </c>
      <c r="B376" s="11">
        <v>45863</v>
      </c>
      <c r="C376" s="10" t="s">
        <v>54</v>
      </c>
      <c r="D376" s="10" t="s">
        <v>55</v>
      </c>
      <c r="E376" s="10" t="s">
        <v>75</v>
      </c>
      <c r="F376" s="10" t="s">
        <v>65</v>
      </c>
      <c r="G376" s="10" t="s">
        <v>66</v>
      </c>
      <c r="H376" s="10">
        <v>1</v>
      </c>
      <c r="I376" s="10">
        <v>24000</v>
      </c>
      <c r="J376" s="10">
        <v>14500</v>
      </c>
      <c r="K376" s="12">
        <v>0</v>
      </c>
      <c r="L376" s="10">
        <v>3</v>
      </c>
      <c r="M376" s="28" t="s">
        <v>145</v>
      </c>
      <c r="N376" s="29">
        <f>_xlfn.IFNA(VLOOKUP(Sales[customer_id],Cust[],11,FALSE),"Unknown")</f>
        <v>50000</v>
      </c>
      <c r="O376" s="29" t="str">
        <f>_xlfn.IFNA(VLOOKUP(Sales[customer_id], Cust[], 7,FALSE),"Unknown customer")</f>
        <v>Port Harcourt</v>
      </c>
      <c r="P376" s="29" t="str">
        <f>_xlfn.IFNA(VLOOKUP(Sales[[#This Row],[customer_id]],Cust[],4, FALSE),"Unknown customer")</f>
        <v>Amaka Eze</v>
      </c>
      <c r="Q376" s="29" t="str">
        <f>_xlfn.IFNA(VLOOKUP(Sales[[#This Row],[customer_id]], Cust[], 10, FALSE), "Unknown customer")</f>
        <v>Retail</v>
      </c>
      <c r="R376" s="29">
        <f>SUM(Sales[quantity]*Sales[[#This Row],[unit_price_ngn]]*(1-Sales[[#This Row],[discount_pct]]))</f>
        <v>24000</v>
      </c>
      <c r="S376" s="29">
        <f>Sales[[#This Row],[revenue]]-(Sales[[#This Row],[quantity]]*Sales[[#This Row],[unit_cost_ngn]])</f>
        <v>9500</v>
      </c>
      <c r="T376" s="41" t="str">
        <f>TEXT(Sales[order_date], "yyyy-mm")</f>
        <v>2025-07</v>
      </c>
    </row>
    <row r="377" spans="1:20" ht="15" customHeight="1" x14ac:dyDescent="0.25">
      <c r="A377" s="10" t="s">
        <v>408</v>
      </c>
      <c r="B377" s="11">
        <v>45868</v>
      </c>
      <c r="C377" s="10" t="s">
        <v>54</v>
      </c>
      <c r="D377" s="10" t="s">
        <v>55</v>
      </c>
      <c r="E377" s="10" t="s">
        <v>34</v>
      </c>
      <c r="F377" s="10" t="s">
        <v>60</v>
      </c>
      <c r="G377" s="10" t="s">
        <v>61</v>
      </c>
      <c r="H377" s="10">
        <v>8</v>
      </c>
      <c r="I377" s="10">
        <v>12000</v>
      </c>
      <c r="J377" s="10">
        <v>7200</v>
      </c>
      <c r="K377" s="12">
        <v>0.1</v>
      </c>
      <c r="L377" s="10">
        <v>4</v>
      </c>
      <c r="M377" s="28" t="s">
        <v>145</v>
      </c>
      <c r="N377" s="29">
        <f>_xlfn.IFNA(VLOOKUP(Sales[customer_id],Cust[],11,FALSE),"Unknown")</f>
        <v>50000</v>
      </c>
      <c r="O377" s="29" t="str">
        <f>_xlfn.IFNA(VLOOKUP(Sales[customer_id], Cust[], 7,FALSE),"Unknown customer")</f>
        <v>Port Harcourt</v>
      </c>
      <c r="P377" s="29" t="str">
        <f>_xlfn.IFNA(VLOOKUP(Sales[[#This Row],[customer_id]],Cust[],4, FALSE),"Unknown customer")</f>
        <v>Amaka Eze</v>
      </c>
      <c r="Q377" s="29" t="str">
        <f>_xlfn.IFNA(VLOOKUP(Sales[[#This Row],[customer_id]], Cust[], 10, FALSE), "Unknown customer")</f>
        <v>Retail</v>
      </c>
      <c r="R377" s="29">
        <f>SUM(Sales[quantity]*Sales[[#This Row],[unit_price_ngn]]*(1-Sales[[#This Row],[discount_pct]]))</f>
        <v>86400</v>
      </c>
      <c r="S377" s="29">
        <f>Sales[[#This Row],[revenue]]-(Sales[[#This Row],[quantity]]*Sales[[#This Row],[unit_cost_ngn]])</f>
        <v>28800</v>
      </c>
      <c r="T377" s="41" t="str">
        <f>TEXT(Sales[order_date], "yyyy-mm")</f>
        <v>2025-07</v>
      </c>
    </row>
    <row r="378" spans="1:20" ht="15" customHeight="1" x14ac:dyDescent="0.25">
      <c r="A378" s="10" t="s">
        <v>414</v>
      </c>
      <c r="B378" s="11">
        <v>45872</v>
      </c>
      <c r="C378" s="10" t="s">
        <v>54</v>
      </c>
      <c r="D378" s="10" t="s">
        <v>55</v>
      </c>
      <c r="E378" s="10" t="s">
        <v>34</v>
      </c>
      <c r="F378" s="10" t="s">
        <v>72</v>
      </c>
      <c r="G378" s="10" t="s">
        <v>47</v>
      </c>
      <c r="H378" s="10">
        <v>1</v>
      </c>
      <c r="I378" s="10">
        <v>46000</v>
      </c>
      <c r="J378" s="10">
        <v>39000</v>
      </c>
      <c r="K378" s="12">
        <v>0</v>
      </c>
      <c r="L378" s="10">
        <v>1</v>
      </c>
      <c r="M378" s="28" t="s">
        <v>58</v>
      </c>
      <c r="N378" s="29">
        <f>_xlfn.IFNA(VLOOKUP(Sales[customer_id],Cust[],11,FALSE),"Unknown")</f>
        <v>50000</v>
      </c>
      <c r="O378" s="29" t="str">
        <f>_xlfn.IFNA(VLOOKUP(Sales[customer_id], Cust[], 7,FALSE),"Unknown customer")</f>
        <v>Port Harcourt</v>
      </c>
      <c r="P378" s="29" t="str">
        <f>_xlfn.IFNA(VLOOKUP(Sales[[#This Row],[customer_id]],Cust[],4, FALSE),"Unknown customer")</f>
        <v>Sadiq Iheanacho</v>
      </c>
      <c r="Q378" s="29" t="str">
        <f>_xlfn.IFNA(VLOOKUP(Sales[[#This Row],[customer_id]], Cust[], 10, FALSE), "Unknown customer")</f>
        <v>Retail</v>
      </c>
      <c r="R378" s="29">
        <f>SUM(Sales[quantity]*Sales[[#This Row],[unit_price_ngn]]*(1-Sales[[#This Row],[discount_pct]]))</f>
        <v>46000</v>
      </c>
      <c r="S378" s="29">
        <f>Sales[[#This Row],[revenue]]-(Sales[[#This Row],[quantity]]*Sales[[#This Row],[unit_cost_ngn]])</f>
        <v>7000</v>
      </c>
      <c r="T378" s="41" t="str">
        <f>TEXT(Sales[order_date], "yyyy-mm")</f>
        <v>2025-08</v>
      </c>
    </row>
    <row r="379" spans="1:20" ht="15" customHeight="1" x14ac:dyDescent="0.25">
      <c r="A379" s="10" t="s">
        <v>424</v>
      </c>
      <c r="B379" s="11">
        <v>45879</v>
      </c>
      <c r="C379" s="10" t="s">
        <v>54</v>
      </c>
      <c r="D379" s="10" t="s">
        <v>55</v>
      </c>
      <c r="E379" s="10" t="s">
        <v>56</v>
      </c>
      <c r="F379" s="10" t="s">
        <v>46</v>
      </c>
      <c r="G379" s="10" t="s">
        <v>47</v>
      </c>
      <c r="H379" s="10">
        <v>2</v>
      </c>
      <c r="I379" s="10">
        <v>9800</v>
      </c>
      <c r="J379" s="10">
        <v>7600</v>
      </c>
      <c r="K379" s="12">
        <v>0</v>
      </c>
      <c r="L379" s="10">
        <v>7</v>
      </c>
      <c r="M379" s="28" t="s">
        <v>143</v>
      </c>
      <c r="N379" s="29">
        <f>_xlfn.IFNA(VLOOKUP(Sales[customer_id],Cust[],11,FALSE),"Unknown")</f>
        <v>250000</v>
      </c>
      <c r="O379" s="29" t="str">
        <f>_xlfn.IFNA(VLOOKUP(Sales[customer_id], Cust[], 7,FALSE),"Unknown customer")</f>
        <v>Port Harcourt</v>
      </c>
      <c r="P379" s="29" t="str">
        <f>_xlfn.IFNA(VLOOKUP(Sales[[#This Row],[customer_id]],Cust[],4, FALSE),"Unknown customer")</f>
        <v>Bashir Ibrahim</v>
      </c>
      <c r="Q379" s="29" t="str">
        <f>_xlfn.IFNA(VLOOKUP(Sales[[#This Row],[customer_id]], Cust[], 10, FALSE), "Unknown customer")</f>
        <v>Corporate</v>
      </c>
      <c r="R379" s="29">
        <f>SUM(Sales[quantity]*Sales[[#This Row],[unit_price_ngn]]*(1-Sales[[#This Row],[discount_pct]]))</f>
        <v>19600</v>
      </c>
      <c r="S379" s="29">
        <f>Sales[[#This Row],[revenue]]-(Sales[[#This Row],[quantity]]*Sales[[#This Row],[unit_cost_ngn]])</f>
        <v>4400</v>
      </c>
      <c r="T379" s="41" t="str">
        <f>TEXT(Sales[order_date], "yyyy-mm")</f>
        <v>2025-08</v>
      </c>
    </row>
    <row r="380" spans="1:20" ht="15" customHeight="1" x14ac:dyDescent="0.25">
      <c r="A380" s="10" t="s">
        <v>426</v>
      </c>
      <c r="B380" s="11">
        <v>45880</v>
      </c>
      <c r="C380" s="10" t="s">
        <v>54</v>
      </c>
      <c r="D380" s="10" t="s">
        <v>55</v>
      </c>
      <c r="E380" s="10" t="s">
        <v>75</v>
      </c>
      <c r="F380" s="10" t="s">
        <v>35</v>
      </c>
      <c r="G380" s="10" t="s">
        <v>36</v>
      </c>
      <c r="H380" s="10">
        <v>1</v>
      </c>
      <c r="I380" s="10">
        <v>18500</v>
      </c>
      <c r="J380" s="10">
        <v>11800</v>
      </c>
      <c r="K380" s="12">
        <v>0</v>
      </c>
      <c r="L380" s="10">
        <v>3</v>
      </c>
      <c r="M380" s="28" t="s">
        <v>58</v>
      </c>
      <c r="N380" s="29">
        <f>_xlfn.IFNA(VLOOKUP(Sales[customer_id],Cust[],11,FALSE),"Unknown")</f>
        <v>50000</v>
      </c>
      <c r="O380" s="29" t="str">
        <f>_xlfn.IFNA(VLOOKUP(Sales[customer_id], Cust[], 7,FALSE),"Unknown customer")</f>
        <v>Port Harcourt</v>
      </c>
      <c r="P380" s="29" t="str">
        <f>_xlfn.IFNA(VLOOKUP(Sales[[#This Row],[customer_id]],Cust[],4, FALSE),"Unknown customer")</f>
        <v>Sadiq Iheanacho</v>
      </c>
      <c r="Q380" s="29" t="str">
        <f>_xlfn.IFNA(VLOOKUP(Sales[[#This Row],[customer_id]], Cust[], 10, FALSE), "Unknown customer")</f>
        <v>Retail</v>
      </c>
      <c r="R380" s="29">
        <f>SUM(Sales[quantity]*Sales[[#This Row],[unit_price_ngn]]*(1-Sales[[#This Row],[discount_pct]]))</f>
        <v>18500</v>
      </c>
      <c r="S380" s="29">
        <f>Sales[[#This Row],[revenue]]-(Sales[[#This Row],[quantity]]*Sales[[#This Row],[unit_cost_ngn]])</f>
        <v>6700</v>
      </c>
      <c r="T380" s="41" t="str">
        <f>TEXT(Sales[order_date], "yyyy-mm")</f>
        <v>2025-08</v>
      </c>
    </row>
    <row r="381" spans="1:20" ht="15" customHeight="1" x14ac:dyDescent="0.25">
      <c r="A381" s="10" t="s">
        <v>427</v>
      </c>
      <c r="B381" s="11">
        <v>45881</v>
      </c>
      <c r="C381" s="10" t="s">
        <v>54</v>
      </c>
      <c r="D381" s="10" t="s">
        <v>55</v>
      </c>
      <c r="E381" s="10" t="s">
        <v>75</v>
      </c>
      <c r="F381" s="10" t="s">
        <v>35</v>
      </c>
      <c r="G381" s="10" t="s">
        <v>36</v>
      </c>
      <c r="H381" s="10">
        <v>1</v>
      </c>
      <c r="I381" s="10">
        <v>18500</v>
      </c>
      <c r="J381" s="10">
        <v>11800</v>
      </c>
      <c r="K381" s="12">
        <v>0.1</v>
      </c>
      <c r="L381" s="10">
        <v>4</v>
      </c>
      <c r="M381" s="28" t="s">
        <v>428</v>
      </c>
      <c r="N381" s="29">
        <f>_xlfn.IFNA(VLOOKUP(Sales[customer_id],Cust[],11,FALSE),"Unknown")</f>
        <v>100000</v>
      </c>
      <c r="O381" s="29" t="str">
        <f>_xlfn.IFNA(VLOOKUP(Sales[customer_id], Cust[], 7,FALSE),"Unknown customer")</f>
        <v>Port Harcourt</v>
      </c>
      <c r="P381" s="29" t="str">
        <f>_xlfn.IFNA(VLOOKUP(Sales[[#This Row],[customer_id]],Cust[],4, FALSE),"Unknown customer")</f>
        <v>Halima Mohammed</v>
      </c>
      <c r="Q381" s="29" t="str">
        <f>_xlfn.IFNA(VLOOKUP(Sales[[#This Row],[customer_id]], Cust[], 10, FALSE), "Unknown customer")</f>
        <v>Corporate</v>
      </c>
      <c r="R381" s="29">
        <f>SUM(Sales[quantity]*Sales[[#This Row],[unit_price_ngn]]*(1-Sales[[#This Row],[discount_pct]]))</f>
        <v>16650</v>
      </c>
      <c r="S381" s="29">
        <f>Sales[[#This Row],[revenue]]-(Sales[[#This Row],[quantity]]*Sales[[#This Row],[unit_cost_ngn]])</f>
        <v>4850</v>
      </c>
      <c r="T381" s="41" t="str">
        <f>TEXT(Sales[order_date], "yyyy-mm")</f>
        <v>2025-08</v>
      </c>
    </row>
    <row r="382" spans="1:20" ht="15" customHeight="1" x14ac:dyDescent="0.25">
      <c r="A382" s="10" t="s">
        <v>429</v>
      </c>
      <c r="B382" s="11">
        <v>45881</v>
      </c>
      <c r="C382" s="10" t="s">
        <v>54</v>
      </c>
      <c r="D382" s="10" t="s">
        <v>55</v>
      </c>
      <c r="E382" s="10" t="s">
        <v>45</v>
      </c>
      <c r="F382" s="10" t="s">
        <v>101</v>
      </c>
      <c r="G382" s="10" t="s">
        <v>61</v>
      </c>
      <c r="H382" s="10">
        <v>10</v>
      </c>
      <c r="I382" s="10">
        <v>28000</v>
      </c>
      <c r="J382" s="10">
        <v>18500</v>
      </c>
      <c r="K382" s="12">
        <v>0</v>
      </c>
      <c r="L382" s="10">
        <v>1</v>
      </c>
      <c r="M382" s="28" t="s">
        <v>430</v>
      </c>
      <c r="N382" s="29">
        <f>_xlfn.IFNA(VLOOKUP(Sales[customer_id],Cust[],11,FALSE),"Unknown")</f>
        <v>150000</v>
      </c>
      <c r="O382" s="29" t="str">
        <f>_xlfn.IFNA(VLOOKUP(Sales[customer_id], Cust[], 7,FALSE),"Unknown customer")</f>
        <v>Port Harcourt</v>
      </c>
      <c r="P382" s="29" t="str">
        <f>_xlfn.IFNA(VLOOKUP(Sales[[#This Row],[customer_id]],Cust[],4, FALSE),"Unknown customer")</f>
        <v>Ijeoma Obi</v>
      </c>
      <c r="Q382" s="29" t="str">
        <f>_xlfn.IFNA(VLOOKUP(Sales[[#This Row],[customer_id]], Cust[], 10, FALSE), "Unknown customer")</f>
        <v>Corporate</v>
      </c>
      <c r="R382" s="29">
        <f>SUM(Sales[quantity]*Sales[[#This Row],[unit_price_ngn]]*(1-Sales[[#This Row],[discount_pct]]))</f>
        <v>280000</v>
      </c>
      <c r="S382" s="29">
        <f>Sales[[#This Row],[revenue]]-(Sales[[#This Row],[quantity]]*Sales[[#This Row],[unit_cost_ngn]])</f>
        <v>95000</v>
      </c>
      <c r="T382" s="41" t="str">
        <f>TEXT(Sales[order_date], "yyyy-mm")</f>
        <v>2025-08</v>
      </c>
    </row>
    <row r="383" spans="1:20" ht="15" customHeight="1" x14ac:dyDescent="0.25">
      <c r="A383" s="10" t="s">
        <v>436</v>
      </c>
      <c r="B383" s="11">
        <v>45886</v>
      </c>
      <c r="C383" s="10" t="s">
        <v>54</v>
      </c>
      <c r="D383" s="10" t="s">
        <v>55</v>
      </c>
      <c r="E383" s="10" t="s">
        <v>34</v>
      </c>
      <c r="F383" s="10" t="s">
        <v>50</v>
      </c>
      <c r="G383" s="10" t="s">
        <v>51</v>
      </c>
      <c r="H383" s="10">
        <v>3</v>
      </c>
      <c r="I383" s="10">
        <v>41000</v>
      </c>
      <c r="J383" s="10">
        <v>25000</v>
      </c>
      <c r="K383" s="12">
        <v>0</v>
      </c>
      <c r="L383" s="10">
        <v>4</v>
      </c>
      <c r="M383" s="28" t="s">
        <v>437</v>
      </c>
      <c r="N383" s="29">
        <f>_xlfn.IFNA(VLOOKUP(Sales[customer_id],Cust[],11,FALSE),"Unknown")</f>
        <v>250000</v>
      </c>
      <c r="O383" s="29" t="str">
        <f>_xlfn.IFNA(VLOOKUP(Sales[customer_id], Cust[], 7,FALSE),"Unknown customer")</f>
        <v>Port Harcourt</v>
      </c>
      <c r="P383" s="29" t="str">
        <f>_xlfn.IFNA(VLOOKUP(Sales[[#This Row],[customer_id]],Cust[],4, FALSE),"Unknown customer")</f>
        <v>Dayo Balogun</v>
      </c>
      <c r="Q383" s="29" t="str">
        <f>_xlfn.IFNA(VLOOKUP(Sales[[#This Row],[customer_id]], Cust[], 10, FALSE), "Unknown customer")</f>
        <v>Wholesale</v>
      </c>
      <c r="R383" s="29">
        <f>SUM(Sales[quantity]*Sales[[#This Row],[unit_price_ngn]]*(1-Sales[[#This Row],[discount_pct]]))</f>
        <v>123000</v>
      </c>
      <c r="S383" s="29">
        <f>Sales[[#This Row],[revenue]]-(Sales[[#This Row],[quantity]]*Sales[[#This Row],[unit_cost_ngn]])</f>
        <v>48000</v>
      </c>
      <c r="T383" s="41" t="str">
        <f>TEXT(Sales[order_date], "yyyy-mm")</f>
        <v>2025-08</v>
      </c>
    </row>
    <row r="384" spans="1:20" ht="15" customHeight="1" x14ac:dyDescent="0.25">
      <c r="A384" s="10" t="s">
        <v>446</v>
      </c>
      <c r="B384" s="11">
        <v>45891</v>
      </c>
      <c r="C384" s="10" t="s">
        <v>54</v>
      </c>
      <c r="D384" s="10" t="s">
        <v>55</v>
      </c>
      <c r="E384" s="10" t="s">
        <v>45</v>
      </c>
      <c r="F384" s="10" t="s">
        <v>50</v>
      </c>
      <c r="G384" s="10" t="s">
        <v>51</v>
      </c>
      <c r="H384" s="10">
        <v>1</v>
      </c>
      <c r="I384" s="10">
        <v>41000</v>
      </c>
      <c r="J384" s="10">
        <v>25000</v>
      </c>
      <c r="K384" s="12">
        <v>0.1</v>
      </c>
      <c r="L384" s="10">
        <v>2</v>
      </c>
      <c r="M384" s="28" t="s">
        <v>152</v>
      </c>
      <c r="N384" s="29">
        <f>_xlfn.IFNA(VLOOKUP(Sales[customer_id],Cust[],11,FALSE),"Unknown")</f>
        <v>100000</v>
      </c>
      <c r="O384" s="29" t="str">
        <f>_xlfn.IFNA(VLOOKUP(Sales[customer_id], Cust[], 7,FALSE),"Unknown customer")</f>
        <v>Port Harcourt</v>
      </c>
      <c r="P384" s="29" t="str">
        <f>_xlfn.IFNA(VLOOKUP(Sales[[#This Row],[customer_id]],Cust[],4, FALSE),"Unknown customer")</f>
        <v>Maryam Oyelaran</v>
      </c>
      <c r="Q384" s="29" t="str">
        <f>_xlfn.IFNA(VLOOKUP(Sales[[#This Row],[customer_id]], Cust[], 10, FALSE), "Unknown customer")</f>
        <v>Corporate</v>
      </c>
      <c r="R384" s="29">
        <f>SUM(Sales[quantity]*Sales[[#This Row],[unit_price_ngn]]*(1-Sales[[#This Row],[discount_pct]]))</f>
        <v>36900</v>
      </c>
      <c r="S384" s="29">
        <f>Sales[[#This Row],[revenue]]-(Sales[[#This Row],[quantity]]*Sales[[#This Row],[unit_cost_ngn]])</f>
        <v>11900</v>
      </c>
      <c r="T384" s="41" t="str">
        <f>TEXT(Sales[order_date], "yyyy-mm")</f>
        <v>2025-08</v>
      </c>
    </row>
    <row r="385" spans="1:20" ht="15" customHeight="1" x14ac:dyDescent="0.25">
      <c r="A385" s="10" t="s">
        <v>449</v>
      </c>
      <c r="B385" s="11">
        <v>45892</v>
      </c>
      <c r="C385" s="10" t="s">
        <v>54</v>
      </c>
      <c r="D385" s="10" t="s">
        <v>55</v>
      </c>
      <c r="E385" s="10" t="s">
        <v>34</v>
      </c>
      <c r="F385" s="10" t="s">
        <v>78</v>
      </c>
      <c r="G385" s="10" t="s">
        <v>36</v>
      </c>
      <c r="H385" s="10">
        <v>2</v>
      </c>
      <c r="I385" s="10">
        <v>22000</v>
      </c>
      <c r="J385" s="10">
        <v>13800</v>
      </c>
      <c r="K385" s="12">
        <v>0.05</v>
      </c>
      <c r="L385" s="10">
        <v>2</v>
      </c>
      <c r="M385" s="28" t="s">
        <v>437</v>
      </c>
      <c r="N385" s="29">
        <f>_xlfn.IFNA(VLOOKUP(Sales[customer_id],Cust[],11,FALSE),"Unknown")</f>
        <v>250000</v>
      </c>
      <c r="O385" s="29" t="str">
        <f>_xlfn.IFNA(VLOOKUP(Sales[customer_id], Cust[], 7,FALSE),"Unknown customer")</f>
        <v>Port Harcourt</v>
      </c>
      <c r="P385" s="29" t="str">
        <f>_xlfn.IFNA(VLOOKUP(Sales[[#This Row],[customer_id]],Cust[],4, FALSE),"Unknown customer")</f>
        <v>Dayo Balogun</v>
      </c>
      <c r="Q385" s="29" t="str">
        <f>_xlfn.IFNA(VLOOKUP(Sales[[#This Row],[customer_id]], Cust[], 10, FALSE), "Unknown customer")</f>
        <v>Wholesale</v>
      </c>
      <c r="R385" s="29">
        <f>SUM(Sales[quantity]*Sales[[#This Row],[unit_price_ngn]]*(1-Sales[[#This Row],[discount_pct]]))</f>
        <v>41800</v>
      </c>
      <c r="S385" s="29">
        <f>Sales[[#This Row],[revenue]]-(Sales[[#This Row],[quantity]]*Sales[[#This Row],[unit_cost_ngn]])</f>
        <v>14200</v>
      </c>
      <c r="T385" s="41" t="str">
        <f>TEXT(Sales[order_date], "yyyy-mm")</f>
        <v>2025-08</v>
      </c>
    </row>
    <row r="386" spans="1:20" ht="15" customHeight="1" x14ac:dyDescent="0.25">
      <c r="A386" s="10" t="s">
        <v>452</v>
      </c>
      <c r="B386" s="11">
        <v>45894</v>
      </c>
      <c r="C386" s="10" t="s">
        <v>54</v>
      </c>
      <c r="D386" s="10" t="s">
        <v>55</v>
      </c>
      <c r="E386" s="10" t="s">
        <v>75</v>
      </c>
      <c r="F386" s="10" t="s">
        <v>57</v>
      </c>
      <c r="G386" s="10" t="s">
        <v>51</v>
      </c>
      <c r="H386" s="10">
        <v>2</v>
      </c>
      <c r="I386" s="10">
        <v>27500</v>
      </c>
      <c r="J386" s="10">
        <v>16500</v>
      </c>
      <c r="K386" s="12">
        <v>0.1</v>
      </c>
      <c r="L386" s="10">
        <v>3</v>
      </c>
      <c r="M386" s="28" t="s">
        <v>133</v>
      </c>
      <c r="N386" s="29">
        <f>_xlfn.IFNA(VLOOKUP(Sales[customer_id],Cust[],11,FALSE),"Unknown")</f>
        <v>100000</v>
      </c>
      <c r="O386" s="29" t="str">
        <f>_xlfn.IFNA(VLOOKUP(Sales[customer_id], Cust[], 7,FALSE),"Unknown customer")</f>
        <v>Port Harcourt</v>
      </c>
      <c r="P386" s="29" t="str">
        <f>_xlfn.IFNA(VLOOKUP(Sales[[#This Row],[customer_id]],Cust[],4, FALSE),"Unknown customer")</f>
        <v>Musa Obi</v>
      </c>
      <c r="Q386" s="29" t="str">
        <f>_xlfn.IFNA(VLOOKUP(Sales[[#This Row],[customer_id]], Cust[], 10, FALSE), "Unknown customer")</f>
        <v>Retail</v>
      </c>
      <c r="R386" s="29">
        <f>SUM(Sales[quantity]*Sales[[#This Row],[unit_price_ngn]]*(1-Sales[[#This Row],[discount_pct]]))</f>
        <v>49500</v>
      </c>
      <c r="S386" s="29">
        <f>Sales[[#This Row],[revenue]]-(Sales[[#This Row],[quantity]]*Sales[[#This Row],[unit_cost_ngn]])</f>
        <v>16500</v>
      </c>
      <c r="T386" s="41" t="str">
        <f>TEXT(Sales[order_date], "yyyy-mm")</f>
        <v>2025-08</v>
      </c>
    </row>
    <row r="387" spans="1:20" ht="15" customHeight="1" x14ac:dyDescent="0.25">
      <c r="A387" s="10" t="s">
        <v>468</v>
      </c>
      <c r="B387" s="11">
        <v>45915</v>
      </c>
      <c r="C387" s="10" t="s">
        <v>54</v>
      </c>
      <c r="D387" s="10" t="s">
        <v>55</v>
      </c>
      <c r="E387" s="10" t="s">
        <v>34</v>
      </c>
      <c r="F387" s="10" t="s">
        <v>72</v>
      </c>
      <c r="G387" s="10" t="s">
        <v>47</v>
      </c>
      <c r="H387" s="10">
        <v>2</v>
      </c>
      <c r="I387" s="10">
        <v>46000</v>
      </c>
      <c r="J387" s="10">
        <v>39000</v>
      </c>
      <c r="K387" s="12">
        <v>0.05</v>
      </c>
      <c r="L387" s="10">
        <v>7</v>
      </c>
      <c r="M387" s="28" t="s">
        <v>437</v>
      </c>
      <c r="N387" s="29">
        <f>_xlfn.IFNA(VLOOKUP(Sales[customer_id],Cust[],11,FALSE),"Unknown")</f>
        <v>250000</v>
      </c>
      <c r="O387" s="29" t="str">
        <f>_xlfn.IFNA(VLOOKUP(Sales[customer_id], Cust[], 7,FALSE),"Unknown customer")</f>
        <v>Port Harcourt</v>
      </c>
      <c r="P387" s="29" t="str">
        <f>_xlfn.IFNA(VLOOKUP(Sales[[#This Row],[customer_id]],Cust[],4, FALSE),"Unknown customer")</f>
        <v>Dayo Balogun</v>
      </c>
      <c r="Q387" s="29" t="str">
        <f>_xlfn.IFNA(VLOOKUP(Sales[[#This Row],[customer_id]], Cust[], 10, FALSE), "Unknown customer")</f>
        <v>Wholesale</v>
      </c>
      <c r="R387" s="29">
        <f>SUM(Sales[quantity]*Sales[[#This Row],[unit_price_ngn]]*(1-Sales[[#This Row],[discount_pct]]))</f>
        <v>87400</v>
      </c>
      <c r="S387" s="29">
        <f>Sales[[#This Row],[revenue]]-(Sales[[#This Row],[quantity]]*Sales[[#This Row],[unit_cost_ngn]])</f>
        <v>9400</v>
      </c>
      <c r="T387" s="41" t="str">
        <f>TEXT(Sales[order_date], "yyyy-mm")</f>
        <v>2025-09</v>
      </c>
    </row>
    <row r="388" spans="1:20" ht="15" customHeight="1" x14ac:dyDescent="0.25">
      <c r="A388" s="10" t="s">
        <v>476</v>
      </c>
      <c r="B388" s="11">
        <v>45932</v>
      </c>
      <c r="C388" s="10" t="s">
        <v>54</v>
      </c>
      <c r="D388" s="10" t="s">
        <v>55</v>
      </c>
      <c r="E388" s="10" t="s">
        <v>34</v>
      </c>
      <c r="F388" s="10" t="s">
        <v>35</v>
      </c>
      <c r="G388" s="10" t="s">
        <v>36</v>
      </c>
      <c r="H388" s="10">
        <v>1</v>
      </c>
      <c r="I388" s="10">
        <v>18500</v>
      </c>
      <c r="J388" s="10">
        <v>11800</v>
      </c>
      <c r="K388" s="12">
        <v>0</v>
      </c>
      <c r="L388" s="10">
        <v>2</v>
      </c>
      <c r="M388" s="28" t="s">
        <v>227</v>
      </c>
      <c r="N388" s="29">
        <f>_xlfn.IFNA(VLOOKUP(Sales[customer_id],Cust[],11,FALSE),"Unknown")</f>
        <v>500000</v>
      </c>
      <c r="O388" s="29" t="str">
        <f>_xlfn.IFNA(VLOOKUP(Sales[customer_id], Cust[], 7,FALSE),"Unknown customer")</f>
        <v>Port Harcourt</v>
      </c>
      <c r="P388" s="29" t="str">
        <f>_xlfn.IFNA(VLOOKUP(Sales[[#This Row],[customer_id]],Cust[],4, FALSE),"Unknown customer")</f>
        <v>Ijeoma Fashola</v>
      </c>
      <c r="Q388" s="29" t="str">
        <f>_xlfn.IFNA(VLOOKUP(Sales[[#This Row],[customer_id]], Cust[], 10, FALSE), "Unknown customer")</f>
        <v>Retail</v>
      </c>
      <c r="R388" s="29">
        <f>SUM(Sales[quantity]*Sales[[#This Row],[unit_price_ngn]]*(1-Sales[[#This Row],[discount_pct]]))</f>
        <v>18500</v>
      </c>
      <c r="S388" s="29">
        <f>Sales[[#This Row],[revenue]]-(Sales[[#This Row],[quantity]]*Sales[[#This Row],[unit_cost_ngn]])</f>
        <v>6700</v>
      </c>
      <c r="T388" s="41" t="str">
        <f>TEXT(Sales[order_date], "yyyy-mm")</f>
        <v>2025-10</v>
      </c>
    </row>
    <row r="389" spans="1:20" ht="15" customHeight="1" x14ac:dyDescent="0.25">
      <c r="A389" s="10" t="s">
        <v>477</v>
      </c>
      <c r="B389" s="11">
        <v>45932</v>
      </c>
      <c r="C389" s="10" t="s">
        <v>54</v>
      </c>
      <c r="D389" s="10" t="s">
        <v>55</v>
      </c>
      <c r="E389" s="10" t="s">
        <v>75</v>
      </c>
      <c r="F389" s="10" t="s">
        <v>101</v>
      </c>
      <c r="G389" s="10" t="s">
        <v>61</v>
      </c>
      <c r="H389" s="10">
        <v>3</v>
      </c>
      <c r="I389" s="10">
        <v>28000</v>
      </c>
      <c r="J389" s="10">
        <v>18500</v>
      </c>
      <c r="K389" s="12">
        <v>0</v>
      </c>
      <c r="L389" s="10">
        <v>1</v>
      </c>
      <c r="M389" s="28" t="s">
        <v>396</v>
      </c>
      <c r="N389" s="29">
        <f>_xlfn.IFNA(VLOOKUP(Sales[customer_id],Cust[],11,FALSE),"Unknown")</f>
        <v>250000</v>
      </c>
      <c r="O389" s="29" t="str">
        <f>_xlfn.IFNA(VLOOKUP(Sales[customer_id], Cust[], 7,FALSE),"Unknown customer")</f>
        <v>Port Harcourt</v>
      </c>
      <c r="P389" s="29" t="str">
        <f>_xlfn.IFNA(VLOOKUP(Sales[[#This Row],[customer_id]],Cust[],4, FALSE),"Unknown customer")</f>
        <v>Tunde Kalu</v>
      </c>
      <c r="Q389" s="29" t="str">
        <f>_xlfn.IFNA(VLOOKUP(Sales[[#This Row],[customer_id]], Cust[], 10, FALSE), "Unknown customer")</f>
        <v>Retail</v>
      </c>
      <c r="R389" s="29">
        <f>SUM(Sales[quantity]*Sales[[#This Row],[unit_price_ngn]]*(1-Sales[[#This Row],[discount_pct]]))</f>
        <v>84000</v>
      </c>
      <c r="S389" s="29">
        <f>Sales[[#This Row],[revenue]]-(Sales[[#This Row],[quantity]]*Sales[[#This Row],[unit_cost_ngn]])</f>
        <v>28500</v>
      </c>
      <c r="T389" s="41" t="str">
        <f>TEXT(Sales[order_date], "yyyy-mm")</f>
        <v>2025-10</v>
      </c>
    </row>
    <row r="390" spans="1:20" ht="15" customHeight="1" x14ac:dyDescent="0.25">
      <c r="A390" s="10" t="s">
        <v>478</v>
      </c>
      <c r="B390" s="11">
        <v>45933</v>
      </c>
      <c r="C390" s="10" t="s">
        <v>54</v>
      </c>
      <c r="D390" s="10" t="s">
        <v>55</v>
      </c>
      <c r="E390" s="10" t="s">
        <v>34</v>
      </c>
      <c r="F390" s="10" t="s">
        <v>72</v>
      </c>
      <c r="G390" s="10" t="s">
        <v>47</v>
      </c>
      <c r="H390" s="10">
        <v>3</v>
      </c>
      <c r="I390" s="10">
        <v>46000</v>
      </c>
      <c r="J390" s="10">
        <v>39000</v>
      </c>
      <c r="K390" s="12">
        <v>0</v>
      </c>
      <c r="L390" s="10">
        <v>4</v>
      </c>
      <c r="M390" s="28" t="s">
        <v>133</v>
      </c>
      <c r="N390" s="29">
        <f>_xlfn.IFNA(VLOOKUP(Sales[customer_id],Cust[],11,FALSE),"Unknown")</f>
        <v>100000</v>
      </c>
      <c r="O390" s="29" t="str">
        <f>_xlfn.IFNA(VLOOKUP(Sales[customer_id], Cust[], 7,FALSE),"Unknown customer")</f>
        <v>Port Harcourt</v>
      </c>
      <c r="P390" s="29" t="str">
        <f>_xlfn.IFNA(VLOOKUP(Sales[[#This Row],[customer_id]],Cust[],4, FALSE),"Unknown customer")</f>
        <v>Musa Obi</v>
      </c>
      <c r="Q390" s="29" t="str">
        <f>_xlfn.IFNA(VLOOKUP(Sales[[#This Row],[customer_id]], Cust[], 10, FALSE), "Unknown customer")</f>
        <v>Retail</v>
      </c>
      <c r="R390" s="29">
        <f>SUM(Sales[quantity]*Sales[[#This Row],[unit_price_ngn]]*(1-Sales[[#This Row],[discount_pct]]))</f>
        <v>138000</v>
      </c>
      <c r="S390" s="29">
        <f>Sales[[#This Row],[revenue]]-(Sales[[#This Row],[quantity]]*Sales[[#This Row],[unit_cost_ngn]])</f>
        <v>21000</v>
      </c>
      <c r="T390" s="41" t="str">
        <f>TEXT(Sales[order_date], "yyyy-mm")</f>
        <v>2025-10</v>
      </c>
    </row>
    <row r="391" spans="1:20" ht="15" customHeight="1" x14ac:dyDescent="0.25">
      <c r="A391" s="10" t="s">
        <v>491</v>
      </c>
      <c r="B391" s="11">
        <v>45945</v>
      </c>
      <c r="C391" s="10" t="s">
        <v>54</v>
      </c>
      <c r="D391" s="10" t="s">
        <v>55</v>
      </c>
      <c r="E391" s="10" t="s">
        <v>75</v>
      </c>
      <c r="F391" s="10" t="s">
        <v>57</v>
      </c>
      <c r="G391" s="10" t="s">
        <v>51</v>
      </c>
      <c r="H391" s="10">
        <v>1</v>
      </c>
      <c r="I391" s="10">
        <v>27500</v>
      </c>
      <c r="J391" s="10">
        <v>16500</v>
      </c>
      <c r="K391" s="12">
        <v>0.05</v>
      </c>
      <c r="L391" s="10">
        <v>4</v>
      </c>
      <c r="M391" s="28" t="s">
        <v>143</v>
      </c>
      <c r="N391" s="29">
        <f>_xlfn.IFNA(VLOOKUP(Sales[customer_id],Cust[],11,FALSE),"Unknown")</f>
        <v>250000</v>
      </c>
      <c r="O391" s="29" t="str">
        <f>_xlfn.IFNA(VLOOKUP(Sales[customer_id], Cust[], 7,FALSE),"Unknown customer")</f>
        <v>Port Harcourt</v>
      </c>
      <c r="P391" s="29" t="str">
        <f>_xlfn.IFNA(VLOOKUP(Sales[[#This Row],[customer_id]],Cust[],4, FALSE),"Unknown customer")</f>
        <v>Bashir Ibrahim</v>
      </c>
      <c r="Q391" s="29" t="str">
        <f>_xlfn.IFNA(VLOOKUP(Sales[[#This Row],[customer_id]], Cust[], 10, FALSE), "Unknown customer")</f>
        <v>Corporate</v>
      </c>
      <c r="R391" s="29">
        <f>SUM(Sales[quantity]*Sales[[#This Row],[unit_price_ngn]]*(1-Sales[[#This Row],[discount_pct]]))</f>
        <v>26125</v>
      </c>
      <c r="S391" s="29">
        <f>Sales[[#This Row],[revenue]]-(Sales[[#This Row],[quantity]]*Sales[[#This Row],[unit_cost_ngn]])</f>
        <v>9625</v>
      </c>
      <c r="T391" s="41" t="str">
        <f>TEXT(Sales[order_date], "yyyy-mm")</f>
        <v>2025-10</v>
      </c>
    </row>
    <row r="392" spans="1:20" ht="15" customHeight="1" x14ac:dyDescent="0.25">
      <c r="A392" s="10" t="s">
        <v>498</v>
      </c>
      <c r="B392" s="11">
        <v>45947</v>
      </c>
      <c r="C392" s="10" t="s">
        <v>54</v>
      </c>
      <c r="D392" s="10" t="s">
        <v>55</v>
      </c>
      <c r="E392" s="10" t="s">
        <v>45</v>
      </c>
      <c r="F392" s="10" t="s">
        <v>88</v>
      </c>
      <c r="G392" s="10" t="s">
        <v>89</v>
      </c>
      <c r="H392" s="10">
        <v>1</v>
      </c>
      <c r="I392" s="10">
        <v>6800</v>
      </c>
      <c r="J392" s="10">
        <v>3900</v>
      </c>
      <c r="K392" s="12">
        <v>0</v>
      </c>
      <c r="L392" s="10">
        <v>5</v>
      </c>
      <c r="M392" s="28" t="s">
        <v>133</v>
      </c>
      <c r="N392" s="29">
        <f>_xlfn.IFNA(VLOOKUP(Sales[customer_id],Cust[],11,FALSE),"Unknown")</f>
        <v>100000</v>
      </c>
      <c r="O392" s="29" t="str">
        <f>_xlfn.IFNA(VLOOKUP(Sales[customer_id], Cust[], 7,FALSE),"Unknown customer")</f>
        <v>Port Harcourt</v>
      </c>
      <c r="P392" s="29" t="str">
        <f>_xlfn.IFNA(VLOOKUP(Sales[[#This Row],[customer_id]],Cust[],4, FALSE),"Unknown customer")</f>
        <v>Musa Obi</v>
      </c>
      <c r="Q392" s="29" t="str">
        <f>_xlfn.IFNA(VLOOKUP(Sales[[#This Row],[customer_id]], Cust[], 10, FALSE), "Unknown customer")</f>
        <v>Retail</v>
      </c>
      <c r="R392" s="29">
        <f>SUM(Sales[quantity]*Sales[[#This Row],[unit_price_ngn]]*(1-Sales[[#This Row],[discount_pct]]))</f>
        <v>6800</v>
      </c>
      <c r="S392" s="29">
        <f>Sales[[#This Row],[revenue]]-(Sales[[#This Row],[quantity]]*Sales[[#This Row],[unit_cost_ngn]])</f>
        <v>2900</v>
      </c>
      <c r="T392" s="41" t="str">
        <f>TEXT(Sales[order_date], "yyyy-mm")</f>
        <v>2025-10</v>
      </c>
    </row>
    <row r="393" spans="1:20" ht="15" customHeight="1" x14ac:dyDescent="0.25">
      <c r="A393" s="10" t="s">
        <v>505</v>
      </c>
      <c r="B393" s="11">
        <v>45954</v>
      </c>
      <c r="C393" s="10" t="s">
        <v>54</v>
      </c>
      <c r="D393" s="10" t="s">
        <v>55</v>
      </c>
      <c r="E393" s="10" t="s">
        <v>34</v>
      </c>
      <c r="F393" s="10" t="s">
        <v>50</v>
      </c>
      <c r="G393" s="10" t="s">
        <v>51</v>
      </c>
      <c r="H393" s="10">
        <v>3</v>
      </c>
      <c r="I393" s="10">
        <v>41000</v>
      </c>
      <c r="J393" s="10">
        <v>25000</v>
      </c>
      <c r="K393" s="12">
        <v>0</v>
      </c>
      <c r="L393" s="10">
        <v>10</v>
      </c>
      <c r="M393" s="28" t="s">
        <v>218</v>
      </c>
      <c r="N393" s="29">
        <f>_xlfn.IFNA(VLOOKUP(Sales[customer_id],Cust[],11,FALSE),"Unknown")</f>
        <v>150000</v>
      </c>
      <c r="O393" s="29" t="str">
        <f>_xlfn.IFNA(VLOOKUP(Sales[customer_id], Cust[], 7,FALSE),"Unknown customer")</f>
        <v>Port Harcourt</v>
      </c>
      <c r="P393" s="29" t="str">
        <f>_xlfn.IFNA(VLOOKUP(Sales[[#This Row],[customer_id]],Cust[],4, FALSE),"Unknown customer")</f>
        <v>Bola Kalu</v>
      </c>
      <c r="Q393" s="29" t="str">
        <f>_xlfn.IFNA(VLOOKUP(Sales[[#This Row],[customer_id]], Cust[], 10, FALSE), "Unknown customer")</f>
        <v>Wholesale</v>
      </c>
      <c r="R393" s="29">
        <f>SUM(Sales[quantity]*Sales[[#This Row],[unit_price_ngn]]*(1-Sales[[#This Row],[discount_pct]]))</f>
        <v>123000</v>
      </c>
      <c r="S393" s="29">
        <f>Sales[[#This Row],[revenue]]-(Sales[[#This Row],[quantity]]*Sales[[#This Row],[unit_cost_ngn]])</f>
        <v>48000</v>
      </c>
      <c r="T393" s="41" t="str">
        <f>TEXT(Sales[order_date], "yyyy-mm")</f>
        <v>2025-10</v>
      </c>
    </row>
    <row r="394" spans="1:20" ht="15" customHeight="1" x14ac:dyDescent="0.25">
      <c r="A394" s="10" t="s">
        <v>506</v>
      </c>
      <c r="B394" s="11">
        <v>45955</v>
      </c>
      <c r="C394" s="10" t="s">
        <v>54</v>
      </c>
      <c r="D394" s="10" t="s">
        <v>55</v>
      </c>
      <c r="E394" s="10" t="s">
        <v>75</v>
      </c>
      <c r="F394" s="10" t="s">
        <v>72</v>
      </c>
      <c r="G394" s="10" t="s">
        <v>47</v>
      </c>
      <c r="H394" s="10">
        <v>1</v>
      </c>
      <c r="I394" s="10">
        <v>46000</v>
      </c>
      <c r="J394" s="10">
        <v>39000</v>
      </c>
      <c r="K394" s="12">
        <v>0</v>
      </c>
      <c r="L394" s="10">
        <v>3</v>
      </c>
      <c r="M394" s="28" t="s">
        <v>355</v>
      </c>
      <c r="N394" s="29">
        <f>_xlfn.IFNA(VLOOKUP(Sales[customer_id],Cust[],11,FALSE),"Unknown")</f>
        <v>50000</v>
      </c>
      <c r="O394" s="29" t="str">
        <f>_xlfn.IFNA(VLOOKUP(Sales[customer_id], Cust[], 7,FALSE),"Unknown customer")</f>
        <v>Port Harcourt</v>
      </c>
      <c r="P394" s="29" t="str">
        <f>_xlfn.IFNA(VLOOKUP(Sales[[#This Row],[customer_id]],Cust[],4, FALSE),"Unknown customer")</f>
        <v>Adaeze Musa</v>
      </c>
      <c r="Q394" s="29" t="str">
        <f>_xlfn.IFNA(VLOOKUP(Sales[[#This Row],[customer_id]], Cust[], 10, FALSE), "Unknown customer")</f>
        <v>Retail</v>
      </c>
      <c r="R394" s="29">
        <f>SUM(Sales[quantity]*Sales[[#This Row],[unit_price_ngn]]*(1-Sales[[#This Row],[discount_pct]]))</f>
        <v>46000</v>
      </c>
      <c r="S394" s="29">
        <f>Sales[[#This Row],[revenue]]-(Sales[[#This Row],[quantity]]*Sales[[#This Row],[unit_cost_ngn]])</f>
        <v>7000</v>
      </c>
      <c r="T394" s="41" t="str">
        <f>TEXT(Sales[order_date], "yyyy-mm")</f>
        <v>2025-10</v>
      </c>
    </row>
    <row r="395" spans="1:20" ht="15" customHeight="1" x14ac:dyDescent="0.25">
      <c r="A395" s="10" t="s">
        <v>509</v>
      </c>
      <c r="B395" s="11">
        <v>45958</v>
      </c>
      <c r="C395" s="10" t="s">
        <v>54</v>
      </c>
      <c r="D395" s="10" t="s">
        <v>55</v>
      </c>
      <c r="E395" s="10" t="s">
        <v>56</v>
      </c>
      <c r="F395" s="10" t="s">
        <v>199</v>
      </c>
      <c r="G395" s="10" t="s">
        <v>36</v>
      </c>
      <c r="H395" s="10">
        <v>1</v>
      </c>
      <c r="I395" s="10">
        <v>15500</v>
      </c>
      <c r="J395" s="10">
        <v>9900</v>
      </c>
      <c r="K395" s="12">
        <v>0</v>
      </c>
      <c r="L395" s="10">
        <v>3</v>
      </c>
      <c r="M395" s="28" t="s">
        <v>127</v>
      </c>
      <c r="N395" s="29">
        <f>_xlfn.IFNA(VLOOKUP(Sales[customer_id],Cust[],11,FALSE),"Unknown")</f>
        <v>250000</v>
      </c>
      <c r="O395" s="29" t="str">
        <f>_xlfn.IFNA(VLOOKUP(Sales[customer_id], Cust[], 7,FALSE),"Unknown customer")</f>
        <v>Port Harcourt</v>
      </c>
      <c r="P395" s="29" t="str">
        <f>_xlfn.IFNA(VLOOKUP(Sales[[#This Row],[customer_id]],Cust[],4, FALSE),"Unknown customer")</f>
        <v>Uche Sanni</v>
      </c>
      <c r="Q395" s="29" t="str">
        <f>_xlfn.IFNA(VLOOKUP(Sales[[#This Row],[customer_id]], Cust[], 10, FALSE), "Unknown customer")</f>
        <v>Corporate</v>
      </c>
      <c r="R395" s="29">
        <f>SUM(Sales[quantity]*Sales[[#This Row],[unit_price_ngn]]*(1-Sales[[#This Row],[discount_pct]]))</f>
        <v>15500</v>
      </c>
      <c r="S395" s="29">
        <f>Sales[[#This Row],[revenue]]-(Sales[[#This Row],[quantity]]*Sales[[#This Row],[unit_cost_ngn]])</f>
        <v>5600</v>
      </c>
      <c r="T395" s="41" t="str">
        <f>TEXT(Sales[order_date], "yyyy-mm")</f>
        <v>2025-10</v>
      </c>
    </row>
    <row r="396" spans="1:20" ht="15" customHeight="1" x14ac:dyDescent="0.25">
      <c r="A396" s="10" t="s">
        <v>527</v>
      </c>
      <c r="B396" s="11">
        <v>45974</v>
      </c>
      <c r="C396" s="10" t="s">
        <v>54</v>
      </c>
      <c r="D396" s="10" t="s">
        <v>55</v>
      </c>
      <c r="E396" s="10" t="s">
        <v>34</v>
      </c>
      <c r="F396" s="10" t="s">
        <v>50</v>
      </c>
      <c r="G396" s="10" t="s">
        <v>51</v>
      </c>
      <c r="H396" s="10">
        <v>4</v>
      </c>
      <c r="I396" s="10">
        <v>41000</v>
      </c>
      <c r="J396" s="10">
        <v>25000</v>
      </c>
      <c r="K396" s="12">
        <v>0.1</v>
      </c>
      <c r="L396" s="10">
        <v>1</v>
      </c>
      <c r="M396" s="28" t="s">
        <v>430</v>
      </c>
      <c r="N396" s="29">
        <f>_xlfn.IFNA(VLOOKUP(Sales[customer_id],Cust[],11,FALSE),"Unknown")</f>
        <v>150000</v>
      </c>
      <c r="O396" s="29" t="str">
        <f>_xlfn.IFNA(VLOOKUP(Sales[customer_id], Cust[], 7,FALSE),"Unknown customer")</f>
        <v>Port Harcourt</v>
      </c>
      <c r="P396" s="29" t="str">
        <f>_xlfn.IFNA(VLOOKUP(Sales[[#This Row],[customer_id]],Cust[],4, FALSE),"Unknown customer")</f>
        <v>Ijeoma Obi</v>
      </c>
      <c r="Q396" s="29" t="str">
        <f>_xlfn.IFNA(VLOOKUP(Sales[[#This Row],[customer_id]], Cust[], 10, FALSE), "Unknown customer")</f>
        <v>Corporate</v>
      </c>
      <c r="R396" s="29">
        <f>SUM(Sales[quantity]*Sales[[#This Row],[unit_price_ngn]]*(1-Sales[[#This Row],[discount_pct]]))</f>
        <v>147600</v>
      </c>
      <c r="S396" s="29">
        <f>Sales[[#This Row],[revenue]]-(Sales[[#This Row],[quantity]]*Sales[[#This Row],[unit_cost_ngn]])</f>
        <v>47600</v>
      </c>
      <c r="T396" s="41" t="str">
        <f>TEXT(Sales[order_date], "yyyy-mm")</f>
        <v>2025-11</v>
      </c>
    </row>
    <row r="397" spans="1:20" ht="15" customHeight="1" x14ac:dyDescent="0.25">
      <c r="A397" s="10" t="s">
        <v>528</v>
      </c>
      <c r="B397" s="11">
        <v>45975</v>
      </c>
      <c r="C397" s="10" t="s">
        <v>54</v>
      </c>
      <c r="D397" s="10" t="s">
        <v>55</v>
      </c>
      <c r="E397" s="10" t="s">
        <v>34</v>
      </c>
      <c r="F397" s="10" t="s">
        <v>69</v>
      </c>
      <c r="G397" s="10" t="s">
        <v>66</v>
      </c>
      <c r="H397" s="10">
        <v>4</v>
      </c>
      <c r="I397" s="10">
        <v>32000</v>
      </c>
      <c r="J397" s="10">
        <v>21000</v>
      </c>
      <c r="K397" s="12">
        <v>0</v>
      </c>
      <c r="L397" s="10">
        <v>4</v>
      </c>
      <c r="M397" s="28" t="s">
        <v>355</v>
      </c>
      <c r="N397" s="29">
        <f>_xlfn.IFNA(VLOOKUP(Sales[customer_id],Cust[],11,FALSE),"Unknown")</f>
        <v>50000</v>
      </c>
      <c r="O397" s="29" t="str">
        <f>_xlfn.IFNA(VLOOKUP(Sales[customer_id], Cust[], 7,FALSE),"Unknown customer")</f>
        <v>Port Harcourt</v>
      </c>
      <c r="P397" s="29" t="str">
        <f>_xlfn.IFNA(VLOOKUP(Sales[[#This Row],[customer_id]],Cust[],4, FALSE),"Unknown customer")</f>
        <v>Adaeze Musa</v>
      </c>
      <c r="Q397" s="29" t="str">
        <f>_xlfn.IFNA(VLOOKUP(Sales[[#This Row],[customer_id]], Cust[], 10, FALSE), "Unknown customer")</f>
        <v>Retail</v>
      </c>
      <c r="R397" s="29">
        <f>SUM(Sales[quantity]*Sales[[#This Row],[unit_price_ngn]]*(1-Sales[[#This Row],[discount_pct]]))</f>
        <v>128000</v>
      </c>
      <c r="S397" s="29">
        <f>Sales[[#This Row],[revenue]]-(Sales[[#This Row],[quantity]]*Sales[[#This Row],[unit_cost_ngn]])</f>
        <v>44000</v>
      </c>
      <c r="T397" s="41" t="str">
        <f>TEXT(Sales[order_date], "yyyy-mm")</f>
        <v>2025-11</v>
      </c>
    </row>
    <row r="398" spans="1:20" ht="15" customHeight="1" x14ac:dyDescent="0.25">
      <c r="A398" s="10" t="s">
        <v>542</v>
      </c>
      <c r="B398" s="11">
        <v>45983</v>
      </c>
      <c r="C398" s="10" t="s">
        <v>54</v>
      </c>
      <c r="D398" s="10" t="s">
        <v>55</v>
      </c>
      <c r="E398" s="10" t="s">
        <v>56</v>
      </c>
      <c r="F398" s="10" t="s">
        <v>78</v>
      </c>
      <c r="G398" s="10" t="s">
        <v>36</v>
      </c>
      <c r="H398" s="10">
        <v>10</v>
      </c>
      <c r="I398" s="10">
        <v>22000</v>
      </c>
      <c r="J398" s="10">
        <v>13800</v>
      </c>
      <c r="K398" s="12">
        <v>0</v>
      </c>
      <c r="L398" s="10">
        <v>2</v>
      </c>
      <c r="M398" s="28" t="s">
        <v>127</v>
      </c>
      <c r="N398" s="29">
        <f>_xlfn.IFNA(VLOOKUP(Sales[customer_id],Cust[],11,FALSE),"Unknown")</f>
        <v>250000</v>
      </c>
      <c r="O398" s="29" t="str">
        <f>_xlfn.IFNA(VLOOKUP(Sales[customer_id], Cust[], 7,FALSE),"Unknown customer")</f>
        <v>Port Harcourt</v>
      </c>
      <c r="P398" s="29" t="str">
        <f>_xlfn.IFNA(VLOOKUP(Sales[[#This Row],[customer_id]],Cust[],4, FALSE),"Unknown customer")</f>
        <v>Uche Sanni</v>
      </c>
      <c r="Q398" s="29" t="str">
        <f>_xlfn.IFNA(VLOOKUP(Sales[[#This Row],[customer_id]], Cust[], 10, FALSE), "Unknown customer")</f>
        <v>Corporate</v>
      </c>
      <c r="R398" s="29">
        <f>SUM(Sales[quantity]*Sales[[#This Row],[unit_price_ngn]]*(1-Sales[[#This Row],[discount_pct]]))</f>
        <v>220000</v>
      </c>
      <c r="S398" s="29">
        <f>Sales[[#This Row],[revenue]]-(Sales[[#This Row],[quantity]]*Sales[[#This Row],[unit_cost_ngn]])</f>
        <v>82000</v>
      </c>
      <c r="T398" s="41" t="str">
        <f>TEXT(Sales[order_date], "yyyy-mm")</f>
        <v>2025-11</v>
      </c>
    </row>
    <row r="399" spans="1:20" ht="15" customHeight="1" x14ac:dyDescent="0.25">
      <c r="A399" s="10" t="s">
        <v>559</v>
      </c>
      <c r="B399" s="11">
        <v>45994</v>
      </c>
      <c r="C399" s="10" t="s">
        <v>54</v>
      </c>
      <c r="D399" s="10" t="s">
        <v>55</v>
      </c>
      <c r="E399" s="10" t="s">
        <v>45</v>
      </c>
      <c r="F399" s="10" t="s">
        <v>88</v>
      </c>
      <c r="G399" s="10" t="s">
        <v>89</v>
      </c>
      <c r="H399" s="10">
        <v>2</v>
      </c>
      <c r="I399" s="10">
        <v>6800</v>
      </c>
      <c r="J399" s="10">
        <v>3900</v>
      </c>
      <c r="K399" s="12">
        <v>0</v>
      </c>
      <c r="L399" s="10">
        <v>2</v>
      </c>
      <c r="M399" s="28" t="s">
        <v>305</v>
      </c>
      <c r="N399" s="29">
        <f>_xlfn.IFNA(VLOOKUP(Sales[customer_id],Cust[],11,FALSE),"Unknown")</f>
        <v>250000</v>
      </c>
      <c r="O399" s="29" t="str">
        <f>_xlfn.IFNA(VLOOKUP(Sales[customer_id], Cust[], 7,FALSE),"Unknown customer")</f>
        <v>Port Harcourt</v>
      </c>
      <c r="P399" s="29" t="str">
        <f>_xlfn.IFNA(VLOOKUP(Sales[[#This Row],[customer_id]],Cust[],4, FALSE),"Unknown customer")</f>
        <v>Blessing Sanni</v>
      </c>
      <c r="Q399" s="29" t="str">
        <f>_xlfn.IFNA(VLOOKUP(Sales[[#This Row],[customer_id]], Cust[], 10, FALSE), "Unknown customer")</f>
        <v>Retail</v>
      </c>
      <c r="R399" s="29">
        <f>SUM(Sales[quantity]*Sales[[#This Row],[unit_price_ngn]]*(1-Sales[[#This Row],[discount_pct]]))</f>
        <v>13600</v>
      </c>
      <c r="S399" s="29">
        <f>Sales[[#This Row],[revenue]]-(Sales[[#This Row],[quantity]]*Sales[[#This Row],[unit_cost_ngn]])</f>
        <v>5800</v>
      </c>
      <c r="T399" s="41" t="str">
        <f>TEXT(Sales[order_date], "yyyy-mm")</f>
        <v>2025-12</v>
      </c>
    </row>
    <row r="400" spans="1:20" ht="15" customHeight="1" x14ac:dyDescent="0.25">
      <c r="A400" s="10" t="s">
        <v>570</v>
      </c>
      <c r="B400" s="11">
        <v>46001</v>
      </c>
      <c r="C400" s="10" t="s">
        <v>54</v>
      </c>
      <c r="D400" s="10" t="s">
        <v>55</v>
      </c>
      <c r="E400" s="10" t="s">
        <v>34</v>
      </c>
      <c r="F400" s="10" t="s">
        <v>50</v>
      </c>
      <c r="G400" s="10" t="s">
        <v>51</v>
      </c>
      <c r="H400" s="10">
        <v>3</v>
      </c>
      <c r="I400" s="10">
        <v>41000</v>
      </c>
      <c r="J400" s="10">
        <v>25000</v>
      </c>
      <c r="K400" s="12">
        <v>0</v>
      </c>
      <c r="L400" s="10">
        <v>3</v>
      </c>
      <c r="M400" s="28" t="s">
        <v>123</v>
      </c>
      <c r="N400" s="29">
        <f>_xlfn.IFNA(VLOOKUP(Sales[customer_id],Cust[],11,FALSE),"Unknown")</f>
        <v>50000</v>
      </c>
      <c r="O400" s="29" t="str">
        <f>_xlfn.IFNA(VLOOKUP(Sales[customer_id], Cust[], 7,FALSE),"Unknown customer")</f>
        <v>Port Harcourt</v>
      </c>
      <c r="P400" s="29" t="str">
        <f>_xlfn.IFNA(VLOOKUP(Sales[[#This Row],[customer_id]],Cust[],4, FALSE),"Unknown customer")</f>
        <v>Chinelo Jibril</v>
      </c>
      <c r="Q400" s="29" t="str">
        <f>_xlfn.IFNA(VLOOKUP(Sales[[#This Row],[customer_id]], Cust[], 10, FALSE), "Unknown customer")</f>
        <v>Wholesale</v>
      </c>
      <c r="R400" s="29">
        <f>SUM(Sales[quantity]*Sales[[#This Row],[unit_price_ngn]]*(1-Sales[[#This Row],[discount_pct]]))</f>
        <v>123000</v>
      </c>
      <c r="S400" s="29">
        <f>Sales[[#This Row],[revenue]]-(Sales[[#This Row],[quantity]]*Sales[[#This Row],[unit_cost_ngn]])</f>
        <v>48000</v>
      </c>
      <c r="T400" s="41" t="str">
        <f>TEXT(Sales[order_date], "yyyy-mm")</f>
        <v>2025-12</v>
      </c>
    </row>
    <row r="401" spans="1:20" ht="15" customHeight="1" x14ac:dyDescent="0.25">
      <c r="A401" s="10" t="s">
        <v>571</v>
      </c>
      <c r="B401" s="11">
        <v>46002</v>
      </c>
      <c r="C401" s="10" t="s">
        <v>54</v>
      </c>
      <c r="D401" s="10" t="s">
        <v>55</v>
      </c>
      <c r="E401" s="10" t="s">
        <v>56</v>
      </c>
      <c r="F401" s="10" t="s">
        <v>46</v>
      </c>
      <c r="G401" s="10" t="s">
        <v>47</v>
      </c>
      <c r="H401" s="10">
        <v>4</v>
      </c>
      <c r="I401" s="10">
        <v>9800</v>
      </c>
      <c r="J401" s="10">
        <v>7600</v>
      </c>
      <c r="K401" s="12">
        <v>0</v>
      </c>
      <c r="L401" s="10">
        <v>2</v>
      </c>
      <c r="M401" s="28" t="s">
        <v>305</v>
      </c>
      <c r="N401" s="29">
        <f>_xlfn.IFNA(VLOOKUP(Sales[customer_id],Cust[],11,FALSE),"Unknown")</f>
        <v>250000</v>
      </c>
      <c r="O401" s="29" t="str">
        <f>_xlfn.IFNA(VLOOKUP(Sales[customer_id], Cust[], 7,FALSE),"Unknown customer")</f>
        <v>Port Harcourt</v>
      </c>
      <c r="P401" s="29" t="str">
        <f>_xlfn.IFNA(VLOOKUP(Sales[[#This Row],[customer_id]],Cust[],4, FALSE),"Unknown customer")</f>
        <v>Blessing Sanni</v>
      </c>
      <c r="Q401" s="29" t="str">
        <f>_xlfn.IFNA(VLOOKUP(Sales[[#This Row],[customer_id]], Cust[], 10, FALSE), "Unknown customer")</f>
        <v>Retail</v>
      </c>
      <c r="R401" s="29">
        <f>SUM(Sales[quantity]*Sales[[#This Row],[unit_price_ngn]]*(1-Sales[[#This Row],[discount_pct]]))</f>
        <v>39200</v>
      </c>
      <c r="S401" s="29">
        <f>Sales[[#This Row],[revenue]]-(Sales[[#This Row],[quantity]]*Sales[[#This Row],[unit_cost_ngn]])</f>
        <v>8800</v>
      </c>
      <c r="T401" s="41" t="str">
        <f>TEXT(Sales[order_date], "yyyy-mm")</f>
        <v>2025-12</v>
      </c>
    </row>
    <row r="402" spans="1:20" ht="15" customHeight="1" x14ac:dyDescent="0.25">
      <c r="A402" s="10" t="s">
        <v>572</v>
      </c>
      <c r="B402" s="11">
        <v>46002</v>
      </c>
      <c r="C402" s="10" t="s">
        <v>54</v>
      </c>
      <c r="D402" s="10" t="s">
        <v>55</v>
      </c>
      <c r="E402" s="10" t="s">
        <v>56</v>
      </c>
      <c r="F402" s="10" t="s">
        <v>72</v>
      </c>
      <c r="G402" s="10" t="s">
        <v>47</v>
      </c>
      <c r="H402" s="10">
        <v>6</v>
      </c>
      <c r="I402" s="10">
        <v>46000</v>
      </c>
      <c r="J402" s="10">
        <v>39000</v>
      </c>
      <c r="K402" s="12">
        <v>0</v>
      </c>
      <c r="L402" s="10">
        <v>4</v>
      </c>
      <c r="M402" s="28" t="s">
        <v>305</v>
      </c>
      <c r="N402" s="29">
        <f>_xlfn.IFNA(VLOOKUP(Sales[customer_id],Cust[],11,FALSE),"Unknown")</f>
        <v>250000</v>
      </c>
      <c r="O402" s="29" t="str">
        <f>_xlfn.IFNA(VLOOKUP(Sales[customer_id], Cust[], 7,FALSE),"Unknown customer")</f>
        <v>Port Harcourt</v>
      </c>
      <c r="P402" s="29" t="str">
        <f>_xlfn.IFNA(VLOOKUP(Sales[[#This Row],[customer_id]],Cust[],4, FALSE),"Unknown customer")</f>
        <v>Blessing Sanni</v>
      </c>
      <c r="Q402" s="29" t="str">
        <f>_xlfn.IFNA(VLOOKUP(Sales[[#This Row],[customer_id]], Cust[], 10, FALSE), "Unknown customer")</f>
        <v>Retail</v>
      </c>
      <c r="R402" s="29">
        <f>SUM(Sales[quantity]*Sales[[#This Row],[unit_price_ngn]]*(1-Sales[[#This Row],[discount_pct]]))</f>
        <v>276000</v>
      </c>
      <c r="S402" s="29">
        <f>Sales[[#This Row],[revenue]]-(Sales[[#This Row],[quantity]]*Sales[[#This Row],[unit_cost_ngn]])</f>
        <v>42000</v>
      </c>
      <c r="T402" s="41" t="str">
        <f>TEXT(Sales[order_date], "yyyy-mm")</f>
        <v>2025-12</v>
      </c>
    </row>
    <row r="403" spans="1:20" ht="15" customHeight="1" x14ac:dyDescent="0.25">
      <c r="A403" s="10" t="s">
        <v>583</v>
      </c>
      <c r="B403" s="11">
        <v>46018</v>
      </c>
      <c r="C403" s="10" t="s">
        <v>54</v>
      </c>
      <c r="D403" s="10" t="s">
        <v>55</v>
      </c>
      <c r="E403" s="10" t="s">
        <v>45</v>
      </c>
      <c r="F403" s="10" t="s">
        <v>50</v>
      </c>
      <c r="G403" s="10" t="s">
        <v>51</v>
      </c>
      <c r="H403" s="10">
        <v>2</v>
      </c>
      <c r="I403" s="10">
        <v>41000</v>
      </c>
      <c r="J403" s="10">
        <v>25000</v>
      </c>
      <c r="K403" s="12">
        <v>0</v>
      </c>
      <c r="L403" s="10">
        <v>3</v>
      </c>
      <c r="M403" s="28" t="s">
        <v>133</v>
      </c>
      <c r="N403" s="29">
        <f>_xlfn.IFNA(VLOOKUP(Sales[customer_id],Cust[],11,FALSE),"Unknown")</f>
        <v>100000</v>
      </c>
      <c r="O403" s="29" t="str">
        <f>_xlfn.IFNA(VLOOKUP(Sales[customer_id], Cust[], 7,FALSE),"Unknown customer")</f>
        <v>Port Harcourt</v>
      </c>
      <c r="P403" s="29" t="str">
        <f>_xlfn.IFNA(VLOOKUP(Sales[[#This Row],[customer_id]],Cust[],4, FALSE),"Unknown customer")</f>
        <v>Musa Obi</v>
      </c>
      <c r="Q403" s="29" t="str">
        <f>_xlfn.IFNA(VLOOKUP(Sales[[#This Row],[customer_id]], Cust[], 10, FALSE), "Unknown customer")</f>
        <v>Retail</v>
      </c>
      <c r="R403" s="29">
        <f>SUM(Sales[quantity]*Sales[[#This Row],[unit_price_ngn]]*(1-Sales[[#This Row],[discount_pct]]))</f>
        <v>82000</v>
      </c>
      <c r="S403" s="29">
        <f>Sales[[#This Row],[revenue]]-(Sales[[#This Row],[quantity]]*Sales[[#This Row],[unit_cost_ngn]])</f>
        <v>32000</v>
      </c>
      <c r="T403" s="41" t="str">
        <f>TEXT(Sales[order_date], "yyyy-mm")</f>
        <v>2025-12</v>
      </c>
    </row>
    <row r="404" spans="1:20" ht="15" customHeight="1" x14ac:dyDescent="0.25">
      <c r="A404" s="10" t="s">
        <v>91</v>
      </c>
      <c r="B404" s="11">
        <v>45669</v>
      </c>
      <c r="C404" s="10" t="s">
        <v>32</v>
      </c>
      <c r="D404" s="10" t="s">
        <v>33</v>
      </c>
      <c r="E404" s="10" t="s">
        <v>45</v>
      </c>
      <c r="F404" s="10" t="s">
        <v>69</v>
      </c>
      <c r="G404" s="10" t="s">
        <v>66</v>
      </c>
      <c r="H404" s="10">
        <v>1</v>
      </c>
      <c r="I404" s="10">
        <v>32000</v>
      </c>
      <c r="J404" s="10">
        <v>21000</v>
      </c>
      <c r="K404" s="12">
        <v>0</v>
      </c>
      <c r="L404" s="10">
        <v>3</v>
      </c>
      <c r="M404" s="28" t="s">
        <v>92</v>
      </c>
      <c r="N404" s="29" t="str">
        <f>_xlfn.IFNA(VLOOKUP(Sales[customer_id],Cust[],11,FALSE),"Unknown")</f>
        <v>Unknown</v>
      </c>
      <c r="O404" s="29" t="str">
        <f>_xlfn.IFNA(VLOOKUP(Sales[customer_id], Cust[], 7,FALSE),"Unknown customer")</f>
        <v>Unknown customer</v>
      </c>
      <c r="P404" s="29" t="str">
        <f>_xlfn.IFNA(VLOOKUP(Sales[[#This Row],[customer_id]],Cust[],4, FALSE),"Unknown customer")</f>
        <v>Unknown customer</v>
      </c>
      <c r="Q404" s="29" t="str">
        <f>_xlfn.IFNA(VLOOKUP(Sales[[#This Row],[customer_id]], Cust[], 10, FALSE), "Unknown customer")</f>
        <v>Unknown customer</v>
      </c>
      <c r="R404" s="29">
        <f>SUM(Sales[quantity]*Sales[[#This Row],[unit_price_ngn]]*(1-Sales[[#This Row],[discount_pct]]))</f>
        <v>32000</v>
      </c>
      <c r="S404" s="29">
        <f>Sales[[#This Row],[revenue]]-(Sales[[#This Row],[quantity]]*Sales[[#This Row],[unit_cost_ngn]])</f>
        <v>11000</v>
      </c>
      <c r="T404" s="41" t="str">
        <f>TEXT(Sales[order_date], "yyyy-mm")</f>
        <v>2025-01</v>
      </c>
    </row>
    <row r="405" spans="1:20" ht="15" customHeight="1" x14ac:dyDescent="0.25">
      <c r="A405" s="10" t="s">
        <v>211</v>
      </c>
      <c r="B405" s="11">
        <v>45739</v>
      </c>
      <c r="C405" s="10" t="s">
        <v>54</v>
      </c>
      <c r="D405" s="10" t="s">
        <v>55</v>
      </c>
      <c r="E405" s="10" t="s">
        <v>45</v>
      </c>
      <c r="F405" s="10" t="s">
        <v>50</v>
      </c>
      <c r="G405" s="10" t="s">
        <v>51</v>
      </c>
      <c r="H405" s="10">
        <v>4</v>
      </c>
      <c r="I405" s="10">
        <v>41000</v>
      </c>
      <c r="J405" s="10">
        <v>25000</v>
      </c>
      <c r="K405" s="12">
        <v>0</v>
      </c>
      <c r="L405" s="10">
        <v>4</v>
      </c>
      <c r="M405" s="28" t="s">
        <v>212</v>
      </c>
      <c r="N405" s="29" t="str">
        <f>_xlfn.IFNA(VLOOKUP(Sales[customer_id],Cust[],11,FALSE),"Unknown")</f>
        <v>Unknown</v>
      </c>
      <c r="O405" s="29" t="str">
        <f>_xlfn.IFNA(VLOOKUP(Sales[customer_id], Cust[], 7,FALSE),"Unknown customer")</f>
        <v>Unknown customer</v>
      </c>
      <c r="P405" s="29" t="str">
        <f>_xlfn.IFNA(VLOOKUP(Sales[[#This Row],[customer_id]],Cust[],4, FALSE),"Unknown customer")</f>
        <v>Unknown customer</v>
      </c>
      <c r="Q405" s="29" t="str">
        <f>_xlfn.IFNA(VLOOKUP(Sales[[#This Row],[customer_id]], Cust[], 10, FALSE), "Unknown customer")</f>
        <v>Unknown customer</v>
      </c>
      <c r="R405" s="29">
        <f>SUM(Sales[quantity]*Sales[[#This Row],[unit_price_ngn]]*(1-Sales[[#This Row],[discount_pct]]))</f>
        <v>164000</v>
      </c>
      <c r="S405" s="29">
        <f>Sales[[#This Row],[revenue]]-(Sales[[#This Row],[quantity]]*Sales[[#This Row],[unit_cost_ngn]])</f>
        <v>64000</v>
      </c>
      <c r="T405" s="41" t="str">
        <f>TEXT(Sales[order_date], "yyyy-mm")</f>
        <v>2025-03</v>
      </c>
    </row>
    <row r="406" spans="1:20" ht="15" customHeight="1" x14ac:dyDescent="0.25">
      <c r="A406" s="10" t="s">
        <v>367</v>
      </c>
      <c r="B406" s="11">
        <v>45837</v>
      </c>
      <c r="C406" s="10" t="s">
        <v>39</v>
      </c>
      <c r="D406" s="10" t="s">
        <v>40</v>
      </c>
      <c r="E406" s="10" t="s">
        <v>75</v>
      </c>
      <c r="F406" s="10" t="s">
        <v>199</v>
      </c>
      <c r="G406" s="10" t="s">
        <v>36</v>
      </c>
      <c r="H406" s="10">
        <v>10</v>
      </c>
      <c r="I406" s="10">
        <v>15500</v>
      </c>
      <c r="J406" s="10">
        <v>9900</v>
      </c>
      <c r="K406" s="12">
        <v>0</v>
      </c>
      <c r="L406" s="10">
        <v>4</v>
      </c>
      <c r="M406" s="28" t="s">
        <v>368</v>
      </c>
      <c r="N406" s="29" t="str">
        <f>_xlfn.IFNA(VLOOKUP(Sales[customer_id],Cust[],11,FALSE),"Unknown")</f>
        <v>Unknown</v>
      </c>
      <c r="O406" s="29" t="str">
        <f>_xlfn.IFNA(VLOOKUP(Sales[customer_id], Cust[], 7,FALSE),"Unknown customer")</f>
        <v>Unknown customer</v>
      </c>
      <c r="P406" s="29" t="str">
        <f>_xlfn.IFNA(VLOOKUP(Sales[[#This Row],[customer_id]],Cust[],4, FALSE),"Unknown customer")</f>
        <v>Unknown customer</v>
      </c>
      <c r="Q406" s="29" t="str">
        <f>_xlfn.IFNA(VLOOKUP(Sales[[#This Row],[customer_id]], Cust[], 10, FALSE), "Unknown customer")</f>
        <v>Unknown customer</v>
      </c>
      <c r="R406" s="29">
        <f>SUM(Sales[quantity]*Sales[[#This Row],[unit_price_ngn]]*(1-Sales[[#This Row],[discount_pct]]))</f>
        <v>155000</v>
      </c>
      <c r="S406" s="29">
        <f>Sales[[#This Row],[revenue]]-(Sales[[#This Row],[quantity]]*Sales[[#This Row],[unit_cost_ngn]])</f>
        <v>56000</v>
      </c>
      <c r="T406" s="41" t="str">
        <f>TEXT(Sales[order_date], "yyyy-mm")</f>
        <v>2025-06</v>
      </c>
    </row>
    <row r="407" spans="1:20" ht="15" customHeight="1" x14ac:dyDescent="0.25">
      <c r="A407" s="30" t="s">
        <v>524</v>
      </c>
      <c r="B407" s="31">
        <v>45969</v>
      </c>
      <c r="C407" s="30" t="s">
        <v>32</v>
      </c>
      <c r="D407" s="30" t="s">
        <v>33</v>
      </c>
      <c r="E407" s="30" t="s">
        <v>75</v>
      </c>
      <c r="F407" s="30" t="s">
        <v>72</v>
      </c>
      <c r="G407" s="30" t="s">
        <v>47</v>
      </c>
      <c r="H407" s="30">
        <v>3</v>
      </c>
      <c r="I407" s="30">
        <v>46000</v>
      </c>
      <c r="J407" s="30">
        <v>39000</v>
      </c>
      <c r="K407" s="32">
        <v>0</v>
      </c>
      <c r="L407" s="30">
        <v>4</v>
      </c>
      <c r="M407" s="33" t="s">
        <v>525</v>
      </c>
      <c r="N407" s="30" t="str">
        <f>_xlfn.IFNA(VLOOKUP(Sales[customer_id],Cust[],11,FALSE),"Unknown")</f>
        <v>Unknown</v>
      </c>
      <c r="O407" s="30" t="str">
        <f>_xlfn.IFNA(VLOOKUP(Sales[customer_id], Cust[], 7,FALSE),"Unknown customer")</f>
        <v>Unknown customer</v>
      </c>
      <c r="P407" s="30" t="str">
        <f>_xlfn.IFNA(VLOOKUP(Sales[[#This Row],[customer_id]],Cust[],4, FALSE),"Unknown customer")</f>
        <v>Unknown customer</v>
      </c>
      <c r="Q407" s="30" t="str">
        <f>_xlfn.IFNA(VLOOKUP(Sales[[#This Row],[customer_id]], Cust[], 10, FALSE), "Unknown customer")</f>
        <v>Unknown customer</v>
      </c>
      <c r="R407" s="30">
        <f>SUM(Sales[quantity]*Sales[[#This Row],[unit_price_ngn]]*(1-Sales[[#This Row],[discount_pct]]))</f>
        <v>138000</v>
      </c>
      <c r="S407" s="30">
        <f>Sales[[#This Row],[revenue]]-(Sales[[#This Row],[quantity]]*Sales[[#This Row],[unit_cost_ngn]])</f>
        <v>21000</v>
      </c>
      <c r="T407" s="42" t="str">
        <f>TEXT(Sales[order_date], "yyyy-mm")</f>
        <v>2025-11</v>
      </c>
    </row>
  </sheetData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EADA-5C99-4121-BFDF-C17A00E440B6}">
  <dimension ref="A1:S204"/>
  <sheetViews>
    <sheetView workbookViewId="0"/>
  </sheetViews>
  <sheetFormatPr defaultRowHeight="15" x14ac:dyDescent="0.25"/>
  <cols>
    <col min="1" max="1" width="10.85546875" bestFit="1" customWidth="1"/>
    <col min="2" max="2" width="13.140625" bestFit="1" customWidth="1"/>
    <col min="3" max="3" width="12.7109375" bestFit="1" customWidth="1"/>
    <col min="4" max="4" width="15" bestFit="1" customWidth="1"/>
    <col min="5" max="5" width="11.28515625" bestFit="1" customWidth="1"/>
    <col min="6" max="6" width="21.42578125" bestFit="1" customWidth="1"/>
    <col min="7" max="7" width="10.85546875" bestFit="1" customWidth="1"/>
    <col min="8" max="8" width="10.7109375" bestFit="1" customWidth="1"/>
    <col min="9" max="9" width="16.7109375" bestFit="1" customWidth="1"/>
    <col min="10" max="10" width="15.85546875" bestFit="1" customWidth="1"/>
    <col min="11" max="11" width="14.5703125" bestFit="1" customWidth="1"/>
    <col min="12" max="12" width="15.7109375" bestFit="1" customWidth="1"/>
    <col min="13" max="13" width="14.28515625" bestFit="1" customWidth="1"/>
    <col min="14" max="14" width="18" bestFit="1" customWidth="1"/>
    <col min="15" max="15" width="12.7109375" bestFit="1" customWidth="1"/>
    <col min="16" max="16" width="18" bestFit="1" customWidth="1"/>
    <col min="17" max="17" width="11" bestFit="1" customWidth="1"/>
    <col min="18" max="18" width="10.7109375" bestFit="1" customWidth="1"/>
    <col min="19" max="19" width="12.5703125" bestFit="1" customWidth="1"/>
  </cols>
  <sheetData>
    <row r="1" spans="1:19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636</v>
      </c>
      <c r="O1" t="s">
        <v>632</v>
      </c>
      <c r="P1" t="s">
        <v>629</v>
      </c>
      <c r="Q1" t="s">
        <v>635</v>
      </c>
      <c r="R1" t="s">
        <v>1164</v>
      </c>
      <c r="S1" t="s">
        <v>1165</v>
      </c>
    </row>
    <row r="2" spans="1:19" x14ac:dyDescent="0.25">
      <c r="A2" t="s">
        <v>589</v>
      </c>
      <c r="B2" s="37">
        <v>46022</v>
      </c>
      <c r="C2" t="s">
        <v>39</v>
      </c>
      <c r="D2" t="s">
        <v>40</v>
      </c>
      <c r="E2" t="s">
        <v>75</v>
      </c>
      <c r="F2" t="s">
        <v>199</v>
      </c>
      <c r="G2" t="s">
        <v>36</v>
      </c>
      <c r="H2">
        <v>3</v>
      </c>
      <c r="I2">
        <v>15500</v>
      </c>
      <c r="J2">
        <v>9900</v>
      </c>
      <c r="K2">
        <v>0.1</v>
      </c>
      <c r="L2">
        <v>2</v>
      </c>
      <c r="M2" t="s">
        <v>310</v>
      </c>
      <c r="N2">
        <v>100000</v>
      </c>
      <c r="O2" t="s">
        <v>39</v>
      </c>
      <c r="P2" t="s">
        <v>781</v>
      </c>
      <c r="Q2" t="s">
        <v>644</v>
      </c>
      <c r="R2">
        <v>41850</v>
      </c>
      <c r="S2">
        <v>12150</v>
      </c>
    </row>
    <row r="3" spans="1:19" x14ac:dyDescent="0.25">
      <c r="A3" t="s">
        <v>583</v>
      </c>
      <c r="B3" s="37">
        <v>46018</v>
      </c>
      <c r="C3" t="s">
        <v>54</v>
      </c>
      <c r="D3" t="s">
        <v>55</v>
      </c>
      <c r="E3" t="s">
        <v>45</v>
      </c>
      <c r="F3" t="s">
        <v>50</v>
      </c>
      <c r="G3" t="s">
        <v>51</v>
      </c>
      <c r="H3">
        <v>2</v>
      </c>
      <c r="I3">
        <v>41000</v>
      </c>
      <c r="J3">
        <v>25000</v>
      </c>
      <c r="K3">
        <v>0</v>
      </c>
      <c r="L3">
        <v>3</v>
      </c>
      <c r="M3" t="s">
        <v>133</v>
      </c>
      <c r="N3">
        <v>100000</v>
      </c>
      <c r="O3" t="s">
        <v>54</v>
      </c>
      <c r="P3" t="s">
        <v>1077</v>
      </c>
      <c r="Q3" t="s">
        <v>644</v>
      </c>
      <c r="R3">
        <v>82000</v>
      </c>
      <c r="S3">
        <v>32000</v>
      </c>
    </row>
    <row r="4" spans="1:19" x14ac:dyDescent="0.25">
      <c r="A4" t="s">
        <v>580</v>
      </c>
      <c r="B4" s="37">
        <v>46012</v>
      </c>
      <c r="C4" t="s">
        <v>32</v>
      </c>
      <c r="D4" t="s">
        <v>33</v>
      </c>
      <c r="E4" t="s">
        <v>34</v>
      </c>
      <c r="F4" t="s">
        <v>72</v>
      </c>
      <c r="G4" t="s">
        <v>47</v>
      </c>
      <c r="H4">
        <v>2</v>
      </c>
      <c r="I4">
        <v>46000</v>
      </c>
      <c r="J4">
        <v>39000</v>
      </c>
      <c r="K4">
        <v>0</v>
      </c>
      <c r="L4">
        <v>5</v>
      </c>
      <c r="M4" t="s">
        <v>344</v>
      </c>
      <c r="N4">
        <v>500000</v>
      </c>
      <c r="O4" t="s">
        <v>32</v>
      </c>
      <c r="P4" t="s">
        <v>1090</v>
      </c>
      <c r="Q4" t="s">
        <v>644</v>
      </c>
      <c r="R4">
        <v>92000</v>
      </c>
      <c r="S4">
        <v>14000</v>
      </c>
    </row>
    <row r="5" spans="1:19" x14ac:dyDescent="0.25">
      <c r="A5" t="s">
        <v>49</v>
      </c>
      <c r="B5" s="37">
        <v>45660</v>
      </c>
      <c r="C5" t="s">
        <v>43</v>
      </c>
      <c r="D5" t="s">
        <v>44</v>
      </c>
      <c r="E5" t="s">
        <v>34</v>
      </c>
      <c r="F5" t="s">
        <v>50</v>
      </c>
      <c r="G5" t="s">
        <v>51</v>
      </c>
      <c r="H5">
        <v>3</v>
      </c>
      <c r="I5">
        <v>41000</v>
      </c>
      <c r="J5">
        <v>25000</v>
      </c>
      <c r="K5">
        <v>0</v>
      </c>
      <c r="L5">
        <v>5</v>
      </c>
      <c r="M5" t="s">
        <v>52</v>
      </c>
      <c r="N5">
        <v>500000</v>
      </c>
      <c r="O5" t="s">
        <v>43</v>
      </c>
      <c r="P5" t="s">
        <v>922</v>
      </c>
      <c r="Q5" t="s">
        <v>644</v>
      </c>
      <c r="R5">
        <v>123000</v>
      </c>
      <c r="S5">
        <v>48000</v>
      </c>
    </row>
    <row r="6" spans="1:19" x14ac:dyDescent="0.25">
      <c r="A6" t="s">
        <v>53</v>
      </c>
      <c r="B6" s="37">
        <v>45660</v>
      </c>
      <c r="C6" t="s">
        <v>54</v>
      </c>
      <c r="D6" t="s">
        <v>55</v>
      </c>
      <c r="E6" t="s">
        <v>56</v>
      </c>
      <c r="F6" t="s">
        <v>57</v>
      </c>
      <c r="G6" t="s">
        <v>51</v>
      </c>
      <c r="H6">
        <v>8</v>
      </c>
      <c r="I6">
        <v>27500</v>
      </c>
      <c r="J6">
        <v>16500</v>
      </c>
      <c r="K6">
        <v>0</v>
      </c>
      <c r="L6">
        <v>2</v>
      </c>
      <c r="M6" t="s">
        <v>58</v>
      </c>
      <c r="N6">
        <v>50000</v>
      </c>
      <c r="O6" t="s">
        <v>54</v>
      </c>
      <c r="P6" t="s">
        <v>986</v>
      </c>
      <c r="Q6" t="s">
        <v>644</v>
      </c>
      <c r="R6">
        <v>220000</v>
      </c>
      <c r="S6">
        <v>88000</v>
      </c>
    </row>
    <row r="7" spans="1:19" x14ac:dyDescent="0.25">
      <c r="A7" t="s">
        <v>578</v>
      </c>
      <c r="B7" s="37">
        <v>46008</v>
      </c>
      <c r="C7" t="s">
        <v>32</v>
      </c>
      <c r="D7" t="s">
        <v>33</v>
      </c>
      <c r="E7" t="s">
        <v>45</v>
      </c>
      <c r="F7" t="s">
        <v>88</v>
      </c>
      <c r="G7" t="s">
        <v>89</v>
      </c>
      <c r="H7">
        <v>3</v>
      </c>
      <c r="I7">
        <v>6800</v>
      </c>
      <c r="J7">
        <v>3900</v>
      </c>
      <c r="K7">
        <v>0</v>
      </c>
      <c r="L7">
        <v>2</v>
      </c>
      <c r="M7" t="s">
        <v>220</v>
      </c>
      <c r="N7">
        <v>150000</v>
      </c>
      <c r="O7" t="s">
        <v>32</v>
      </c>
      <c r="P7" t="s">
        <v>1065</v>
      </c>
      <c r="Q7" t="s">
        <v>644</v>
      </c>
      <c r="R7">
        <v>20400</v>
      </c>
      <c r="S7">
        <v>8700</v>
      </c>
    </row>
    <row r="8" spans="1:19" x14ac:dyDescent="0.25">
      <c r="A8" t="s">
        <v>575</v>
      </c>
      <c r="B8" s="37">
        <v>46005</v>
      </c>
      <c r="C8" t="s">
        <v>32</v>
      </c>
      <c r="D8" t="s">
        <v>83</v>
      </c>
      <c r="E8" t="s">
        <v>45</v>
      </c>
      <c r="F8" t="s">
        <v>60</v>
      </c>
      <c r="G8" t="s">
        <v>61</v>
      </c>
      <c r="H8">
        <v>2</v>
      </c>
      <c r="I8">
        <v>12000</v>
      </c>
      <c r="J8">
        <v>7200</v>
      </c>
      <c r="K8">
        <v>0</v>
      </c>
      <c r="L8">
        <v>1</v>
      </c>
      <c r="M8" t="s">
        <v>278</v>
      </c>
      <c r="N8">
        <v>150000</v>
      </c>
      <c r="O8" t="s">
        <v>32</v>
      </c>
      <c r="P8" t="s">
        <v>935</v>
      </c>
      <c r="Q8" t="s">
        <v>644</v>
      </c>
      <c r="R8">
        <v>24000</v>
      </c>
      <c r="S8">
        <v>9600</v>
      </c>
    </row>
    <row r="9" spans="1:19" x14ac:dyDescent="0.25">
      <c r="A9" t="s">
        <v>572</v>
      </c>
      <c r="B9" s="37">
        <v>46002</v>
      </c>
      <c r="C9" t="s">
        <v>54</v>
      </c>
      <c r="D9" t="s">
        <v>55</v>
      </c>
      <c r="E9" t="s">
        <v>56</v>
      </c>
      <c r="F9" t="s">
        <v>72</v>
      </c>
      <c r="G9" t="s">
        <v>47</v>
      </c>
      <c r="H9">
        <v>6</v>
      </c>
      <c r="I9">
        <v>46000</v>
      </c>
      <c r="J9">
        <v>39000</v>
      </c>
      <c r="K9">
        <v>0</v>
      </c>
      <c r="L9">
        <v>4</v>
      </c>
      <c r="M9" t="s">
        <v>305</v>
      </c>
      <c r="N9">
        <v>250000</v>
      </c>
      <c r="O9" t="s">
        <v>54</v>
      </c>
      <c r="P9" t="s">
        <v>1160</v>
      </c>
      <c r="Q9" t="s">
        <v>644</v>
      </c>
      <c r="R9">
        <v>276000</v>
      </c>
      <c r="S9">
        <v>42000</v>
      </c>
    </row>
    <row r="10" spans="1:19" x14ac:dyDescent="0.25">
      <c r="A10" t="s">
        <v>71</v>
      </c>
      <c r="B10" s="37">
        <v>45663</v>
      </c>
      <c r="C10" t="s">
        <v>32</v>
      </c>
      <c r="D10" t="s">
        <v>33</v>
      </c>
      <c r="E10" t="s">
        <v>34</v>
      </c>
      <c r="F10" t="s">
        <v>72</v>
      </c>
      <c r="G10" t="s">
        <v>47</v>
      </c>
      <c r="H10">
        <v>2</v>
      </c>
      <c r="I10">
        <v>46000</v>
      </c>
      <c r="J10">
        <v>39000</v>
      </c>
      <c r="K10">
        <v>0</v>
      </c>
      <c r="L10">
        <v>1</v>
      </c>
      <c r="M10" t="s">
        <v>73</v>
      </c>
      <c r="N10">
        <v>250000</v>
      </c>
      <c r="O10" t="s">
        <v>32</v>
      </c>
      <c r="P10" t="s">
        <v>723</v>
      </c>
      <c r="Q10" t="s">
        <v>644</v>
      </c>
      <c r="R10">
        <v>92000</v>
      </c>
      <c r="S10">
        <v>14000</v>
      </c>
    </row>
    <row r="11" spans="1:19" x14ac:dyDescent="0.25">
      <c r="A11" t="s">
        <v>571</v>
      </c>
      <c r="B11" s="37">
        <v>46002</v>
      </c>
      <c r="C11" t="s">
        <v>54</v>
      </c>
      <c r="D11" t="s">
        <v>55</v>
      </c>
      <c r="E11" t="s">
        <v>56</v>
      </c>
      <c r="F11" t="s">
        <v>46</v>
      </c>
      <c r="G11" t="s">
        <v>47</v>
      </c>
      <c r="H11">
        <v>4</v>
      </c>
      <c r="I11">
        <v>9800</v>
      </c>
      <c r="J11">
        <v>7600</v>
      </c>
      <c r="K11">
        <v>0</v>
      </c>
      <c r="L11">
        <v>2</v>
      </c>
      <c r="M11" t="s">
        <v>305</v>
      </c>
      <c r="N11">
        <v>250000</v>
      </c>
      <c r="O11" t="s">
        <v>54</v>
      </c>
      <c r="P11" t="s">
        <v>1160</v>
      </c>
      <c r="Q11" t="s">
        <v>644</v>
      </c>
      <c r="R11">
        <v>39200</v>
      </c>
      <c r="S11">
        <v>8800</v>
      </c>
    </row>
    <row r="12" spans="1:19" x14ac:dyDescent="0.25">
      <c r="A12" t="s">
        <v>77</v>
      </c>
      <c r="B12" s="37">
        <v>45664</v>
      </c>
      <c r="C12" t="s">
        <v>32</v>
      </c>
      <c r="D12" t="s">
        <v>33</v>
      </c>
      <c r="E12" t="s">
        <v>34</v>
      </c>
      <c r="F12" t="s">
        <v>78</v>
      </c>
      <c r="G12" t="s">
        <v>36</v>
      </c>
      <c r="H12">
        <v>3</v>
      </c>
      <c r="I12">
        <v>22000</v>
      </c>
      <c r="J12">
        <v>13800</v>
      </c>
      <c r="K12">
        <v>0</v>
      </c>
      <c r="L12">
        <v>2</v>
      </c>
      <c r="M12" t="s">
        <v>79</v>
      </c>
      <c r="N12">
        <v>500000</v>
      </c>
      <c r="O12" t="s">
        <v>32</v>
      </c>
      <c r="P12" t="s">
        <v>1102</v>
      </c>
      <c r="Q12" t="s">
        <v>644</v>
      </c>
      <c r="R12">
        <v>66000</v>
      </c>
      <c r="S12">
        <v>24600</v>
      </c>
    </row>
    <row r="13" spans="1:19" x14ac:dyDescent="0.25">
      <c r="A13" t="s">
        <v>567</v>
      </c>
      <c r="B13" s="37">
        <v>46000</v>
      </c>
      <c r="C13" t="s">
        <v>32</v>
      </c>
      <c r="D13" t="s">
        <v>83</v>
      </c>
      <c r="E13" t="s">
        <v>34</v>
      </c>
      <c r="F13" t="s">
        <v>50</v>
      </c>
      <c r="G13" t="s">
        <v>51</v>
      </c>
      <c r="H13">
        <v>5</v>
      </c>
      <c r="I13">
        <v>41000</v>
      </c>
      <c r="J13">
        <v>25000</v>
      </c>
      <c r="K13">
        <v>0</v>
      </c>
      <c r="L13">
        <v>2</v>
      </c>
      <c r="M13" t="s">
        <v>302</v>
      </c>
      <c r="N13">
        <v>500000</v>
      </c>
      <c r="O13" t="s">
        <v>32</v>
      </c>
      <c r="P13" t="s">
        <v>918</v>
      </c>
      <c r="Q13" t="s">
        <v>644</v>
      </c>
      <c r="R13">
        <v>205000</v>
      </c>
      <c r="S13">
        <v>80000</v>
      </c>
    </row>
    <row r="14" spans="1:19" x14ac:dyDescent="0.25">
      <c r="A14" t="s">
        <v>82</v>
      </c>
      <c r="B14" s="37">
        <v>45664</v>
      </c>
      <c r="C14" t="s">
        <v>32</v>
      </c>
      <c r="D14" t="s">
        <v>83</v>
      </c>
      <c r="E14" t="s">
        <v>45</v>
      </c>
      <c r="F14" t="s">
        <v>57</v>
      </c>
      <c r="G14" t="s">
        <v>51</v>
      </c>
      <c r="H14">
        <v>2</v>
      </c>
      <c r="I14">
        <v>27500</v>
      </c>
      <c r="J14">
        <v>16500</v>
      </c>
      <c r="K14">
        <v>0</v>
      </c>
      <c r="L14">
        <v>1</v>
      </c>
      <c r="M14" t="s">
        <v>84</v>
      </c>
      <c r="N14">
        <v>150000</v>
      </c>
      <c r="O14" t="s">
        <v>32</v>
      </c>
      <c r="P14" t="s">
        <v>794</v>
      </c>
      <c r="Q14" t="s">
        <v>644</v>
      </c>
      <c r="R14">
        <v>55000</v>
      </c>
      <c r="S14">
        <v>22000</v>
      </c>
    </row>
    <row r="15" spans="1:19" x14ac:dyDescent="0.25">
      <c r="A15" t="s">
        <v>566</v>
      </c>
      <c r="B15" s="37">
        <v>46000</v>
      </c>
      <c r="C15" t="s">
        <v>32</v>
      </c>
      <c r="D15" t="s">
        <v>33</v>
      </c>
      <c r="E15" t="s">
        <v>75</v>
      </c>
      <c r="F15" t="s">
        <v>60</v>
      </c>
      <c r="G15" t="s">
        <v>61</v>
      </c>
      <c r="H15">
        <v>1</v>
      </c>
      <c r="I15">
        <v>12000</v>
      </c>
      <c r="J15">
        <v>7200</v>
      </c>
      <c r="K15">
        <v>0.1</v>
      </c>
      <c r="L15">
        <v>3</v>
      </c>
      <c r="M15" t="s">
        <v>97</v>
      </c>
      <c r="N15">
        <v>150000</v>
      </c>
      <c r="O15" t="s">
        <v>32</v>
      </c>
      <c r="P15" t="s">
        <v>1056</v>
      </c>
      <c r="Q15" t="s">
        <v>644</v>
      </c>
      <c r="R15">
        <v>10800</v>
      </c>
      <c r="S15">
        <v>3600</v>
      </c>
    </row>
    <row r="16" spans="1:19" x14ac:dyDescent="0.25">
      <c r="A16" t="s">
        <v>563</v>
      </c>
      <c r="B16" s="37">
        <v>45999</v>
      </c>
      <c r="C16" t="s">
        <v>32</v>
      </c>
      <c r="D16" t="s">
        <v>83</v>
      </c>
      <c r="E16" t="s">
        <v>75</v>
      </c>
      <c r="F16" t="s">
        <v>65</v>
      </c>
      <c r="G16" t="s">
        <v>66</v>
      </c>
      <c r="H16">
        <v>2</v>
      </c>
      <c r="I16">
        <v>24000</v>
      </c>
      <c r="J16">
        <v>14500</v>
      </c>
      <c r="K16">
        <v>0</v>
      </c>
      <c r="L16">
        <v>3</v>
      </c>
      <c r="M16" t="s">
        <v>220</v>
      </c>
      <c r="N16">
        <v>150000</v>
      </c>
      <c r="O16" t="s">
        <v>32</v>
      </c>
      <c r="P16" t="s">
        <v>1065</v>
      </c>
      <c r="Q16" t="s">
        <v>644</v>
      </c>
      <c r="R16">
        <v>48000</v>
      </c>
      <c r="S16">
        <v>19000</v>
      </c>
    </row>
    <row r="17" spans="1:19" x14ac:dyDescent="0.25">
      <c r="A17" t="s">
        <v>561</v>
      </c>
      <c r="B17" s="37">
        <v>45998</v>
      </c>
      <c r="C17" t="s">
        <v>63</v>
      </c>
      <c r="D17" t="s">
        <v>64</v>
      </c>
      <c r="E17" t="s">
        <v>75</v>
      </c>
      <c r="F17" t="s">
        <v>46</v>
      </c>
      <c r="G17" t="s">
        <v>47</v>
      </c>
      <c r="H17">
        <v>9</v>
      </c>
      <c r="I17">
        <v>9800</v>
      </c>
      <c r="J17">
        <v>7600</v>
      </c>
      <c r="K17">
        <v>0</v>
      </c>
      <c r="L17">
        <v>3</v>
      </c>
      <c r="M17" t="s">
        <v>263</v>
      </c>
      <c r="N17">
        <v>100000</v>
      </c>
      <c r="O17" t="s">
        <v>63</v>
      </c>
      <c r="P17" t="s">
        <v>930</v>
      </c>
      <c r="Q17" t="s">
        <v>644</v>
      </c>
      <c r="R17">
        <v>88200</v>
      </c>
      <c r="S17">
        <v>19800</v>
      </c>
    </row>
    <row r="18" spans="1:19" x14ac:dyDescent="0.25">
      <c r="A18" t="s">
        <v>559</v>
      </c>
      <c r="B18" s="37">
        <v>45994</v>
      </c>
      <c r="C18" t="s">
        <v>54</v>
      </c>
      <c r="D18" t="s">
        <v>55</v>
      </c>
      <c r="E18" t="s">
        <v>45</v>
      </c>
      <c r="F18" t="s">
        <v>88</v>
      </c>
      <c r="G18" t="s">
        <v>89</v>
      </c>
      <c r="H18">
        <v>2</v>
      </c>
      <c r="I18">
        <v>6800</v>
      </c>
      <c r="J18">
        <v>3900</v>
      </c>
      <c r="K18">
        <v>0</v>
      </c>
      <c r="L18">
        <v>2</v>
      </c>
      <c r="M18" t="s">
        <v>305</v>
      </c>
      <c r="N18">
        <v>250000</v>
      </c>
      <c r="O18" t="s">
        <v>54</v>
      </c>
      <c r="P18" t="s">
        <v>1160</v>
      </c>
      <c r="Q18" t="s">
        <v>644</v>
      </c>
      <c r="R18">
        <v>13600</v>
      </c>
      <c r="S18">
        <v>5800</v>
      </c>
    </row>
    <row r="19" spans="1:19" x14ac:dyDescent="0.25">
      <c r="A19" t="s">
        <v>95</v>
      </c>
      <c r="B19" s="37">
        <v>45670</v>
      </c>
      <c r="C19" t="s">
        <v>32</v>
      </c>
      <c r="D19" t="s">
        <v>83</v>
      </c>
      <c r="E19" t="s">
        <v>34</v>
      </c>
      <c r="F19" t="s">
        <v>35</v>
      </c>
      <c r="G19" t="s">
        <v>36</v>
      </c>
      <c r="H19">
        <v>1</v>
      </c>
      <c r="I19">
        <v>18500</v>
      </c>
      <c r="J19">
        <v>11800</v>
      </c>
      <c r="K19">
        <v>0</v>
      </c>
      <c r="L19">
        <v>2</v>
      </c>
      <c r="M19" t="s">
        <v>79</v>
      </c>
      <c r="N19">
        <v>500000</v>
      </c>
      <c r="O19" t="s">
        <v>32</v>
      </c>
      <c r="P19" t="s">
        <v>1102</v>
      </c>
      <c r="Q19" t="s">
        <v>644</v>
      </c>
      <c r="R19">
        <v>18500</v>
      </c>
      <c r="S19">
        <v>6700</v>
      </c>
    </row>
    <row r="20" spans="1:19" x14ac:dyDescent="0.25">
      <c r="A20" t="s">
        <v>96</v>
      </c>
      <c r="B20" s="37">
        <v>45670</v>
      </c>
      <c r="C20" t="s">
        <v>32</v>
      </c>
      <c r="D20" t="s">
        <v>83</v>
      </c>
      <c r="E20" t="s">
        <v>45</v>
      </c>
      <c r="F20" t="s">
        <v>50</v>
      </c>
      <c r="G20" t="s">
        <v>51</v>
      </c>
      <c r="H20">
        <v>8</v>
      </c>
      <c r="I20">
        <v>41000</v>
      </c>
      <c r="J20">
        <v>25000</v>
      </c>
      <c r="K20">
        <v>0</v>
      </c>
      <c r="L20">
        <v>5</v>
      </c>
      <c r="M20" t="s">
        <v>97</v>
      </c>
      <c r="N20">
        <v>150000</v>
      </c>
      <c r="O20" t="s">
        <v>32</v>
      </c>
      <c r="P20" t="s">
        <v>1056</v>
      </c>
      <c r="Q20" t="s">
        <v>644</v>
      </c>
      <c r="R20">
        <v>328000</v>
      </c>
      <c r="S20">
        <v>128000</v>
      </c>
    </row>
    <row r="21" spans="1:19" x14ac:dyDescent="0.25">
      <c r="A21" t="s">
        <v>98</v>
      </c>
      <c r="B21" s="37">
        <v>45671</v>
      </c>
      <c r="C21" t="s">
        <v>54</v>
      </c>
      <c r="D21" t="s">
        <v>55</v>
      </c>
      <c r="E21" t="s">
        <v>34</v>
      </c>
      <c r="F21" t="s">
        <v>72</v>
      </c>
      <c r="G21" t="s">
        <v>47</v>
      </c>
      <c r="H21">
        <v>8</v>
      </c>
      <c r="I21">
        <v>46000</v>
      </c>
      <c r="J21">
        <v>39000</v>
      </c>
      <c r="K21">
        <v>0</v>
      </c>
      <c r="L21">
        <v>4</v>
      </c>
      <c r="M21" t="s">
        <v>99</v>
      </c>
      <c r="N21">
        <v>150000</v>
      </c>
      <c r="O21" t="s">
        <v>54</v>
      </c>
      <c r="P21" t="s">
        <v>947</v>
      </c>
      <c r="Q21" t="s">
        <v>644</v>
      </c>
      <c r="R21">
        <v>368000</v>
      </c>
      <c r="S21">
        <v>56000</v>
      </c>
    </row>
    <row r="22" spans="1:19" x14ac:dyDescent="0.25">
      <c r="A22" t="s">
        <v>556</v>
      </c>
      <c r="B22" s="37">
        <v>45993</v>
      </c>
      <c r="C22" t="s">
        <v>39</v>
      </c>
      <c r="D22" t="s">
        <v>40</v>
      </c>
      <c r="E22" t="s">
        <v>34</v>
      </c>
      <c r="F22" t="s">
        <v>101</v>
      </c>
      <c r="G22" t="s">
        <v>61</v>
      </c>
      <c r="H22">
        <v>3</v>
      </c>
      <c r="I22">
        <v>28000</v>
      </c>
      <c r="J22">
        <v>18500</v>
      </c>
      <c r="K22">
        <v>0.05</v>
      </c>
      <c r="L22">
        <v>4</v>
      </c>
      <c r="M22" t="s">
        <v>308</v>
      </c>
      <c r="N22">
        <v>250000</v>
      </c>
      <c r="O22" t="s">
        <v>39</v>
      </c>
      <c r="P22" t="s">
        <v>772</v>
      </c>
      <c r="Q22" t="s">
        <v>644</v>
      </c>
      <c r="R22">
        <v>79800</v>
      </c>
      <c r="S22">
        <v>24300</v>
      </c>
    </row>
    <row r="23" spans="1:19" x14ac:dyDescent="0.25">
      <c r="A23" t="s">
        <v>103</v>
      </c>
      <c r="B23" s="37">
        <v>45673</v>
      </c>
      <c r="C23" t="s">
        <v>43</v>
      </c>
      <c r="D23" t="s">
        <v>44</v>
      </c>
      <c r="E23" t="s">
        <v>45</v>
      </c>
      <c r="F23" t="s">
        <v>65</v>
      </c>
      <c r="G23" t="s">
        <v>66</v>
      </c>
      <c r="H23">
        <v>1</v>
      </c>
      <c r="I23">
        <v>24000</v>
      </c>
      <c r="J23">
        <v>14500</v>
      </c>
      <c r="K23">
        <v>0</v>
      </c>
      <c r="L23">
        <v>7</v>
      </c>
      <c r="M23" t="s">
        <v>104</v>
      </c>
      <c r="N23">
        <v>50000</v>
      </c>
      <c r="O23" t="s">
        <v>43</v>
      </c>
      <c r="P23" t="s">
        <v>891</v>
      </c>
      <c r="Q23" t="s">
        <v>644</v>
      </c>
      <c r="R23">
        <v>24000</v>
      </c>
      <c r="S23">
        <v>9500</v>
      </c>
    </row>
    <row r="24" spans="1:19" x14ac:dyDescent="0.25">
      <c r="A24" t="s">
        <v>105</v>
      </c>
      <c r="B24" s="37">
        <v>45675</v>
      </c>
      <c r="C24" t="s">
        <v>54</v>
      </c>
      <c r="D24" t="s">
        <v>55</v>
      </c>
      <c r="E24" t="s">
        <v>34</v>
      </c>
      <c r="F24" t="s">
        <v>72</v>
      </c>
      <c r="G24" t="s">
        <v>47</v>
      </c>
      <c r="H24">
        <v>2</v>
      </c>
      <c r="I24">
        <v>46000</v>
      </c>
      <c r="J24">
        <v>39000</v>
      </c>
      <c r="K24">
        <v>0</v>
      </c>
      <c r="L24">
        <v>2</v>
      </c>
      <c r="M24" t="s">
        <v>58</v>
      </c>
      <c r="N24">
        <v>50000</v>
      </c>
      <c r="O24" t="s">
        <v>54</v>
      </c>
      <c r="P24" t="s">
        <v>986</v>
      </c>
      <c r="Q24" t="s">
        <v>644</v>
      </c>
      <c r="R24">
        <v>92000</v>
      </c>
      <c r="S24">
        <v>14000</v>
      </c>
    </row>
    <row r="25" spans="1:19" x14ac:dyDescent="0.25">
      <c r="A25" t="s">
        <v>554</v>
      </c>
      <c r="B25" s="37">
        <v>45992</v>
      </c>
      <c r="C25" t="s">
        <v>32</v>
      </c>
      <c r="D25" t="s">
        <v>83</v>
      </c>
      <c r="E25" t="s">
        <v>75</v>
      </c>
      <c r="F25" t="s">
        <v>57</v>
      </c>
      <c r="G25" t="s">
        <v>51</v>
      </c>
      <c r="H25">
        <v>3</v>
      </c>
      <c r="I25">
        <v>27500</v>
      </c>
      <c r="J25">
        <v>16500</v>
      </c>
      <c r="K25">
        <v>0.1</v>
      </c>
      <c r="L25">
        <v>4</v>
      </c>
      <c r="M25" t="s">
        <v>344</v>
      </c>
      <c r="N25">
        <v>500000</v>
      </c>
      <c r="O25" t="s">
        <v>32</v>
      </c>
      <c r="P25" t="s">
        <v>1090</v>
      </c>
      <c r="Q25" t="s">
        <v>644</v>
      </c>
      <c r="R25">
        <v>74250</v>
      </c>
      <c r="S25">
        <v>24750</v>
      </c>
    </row>
    <row r="26" spans="1:19" x14ac:dyDescent="0.25">
      <c r="A26" t="s">
        <v>551</v>
      </c>
      <c r="B26" s="37">
        <v>45990</v>
      </c>
      <c r="C26" t="s">
        <v>63</v>
      </c>
      <c r="D26" t="s">
        <v>64</v>
      </c>
      <c r="E26" t="s">
        <v>75</v>
      </c>
      <c r="F26" t="s">
        <v>78</v>
      </c>
      <c r="G26" t="s">
        <v>36</v>
      </c>
      <c r="H26">
        <v>11</v>
      </c>
      <c r="I26">
        <v>22000</v>
      </c>
      <c r="J26">
        <v>13800</v>
      </c>
      <c r="K26">
        <v>0</v>
      </c>
      <c r="L26">
        <v>7</v>
      </c>
      <c r="M26" t="s">
        <v>552</v>
      </c>
      <c r="N26">
        <v>150000</v>
      </c>
      <c r="O26" t="s">
        <v>63</v>
      </c>
      <c r="P26" t="s">
        <v>951</v>
      </c>
      <c r="Q26" t="s">
        <v>644</v>
      </c>
      <c r="R26">
        <v>242000</v>
      </c>
      <c r="S26">
        <v>90200</v>
      </c>
    </row>
    <row r="27" spans="1:19" x14ac:dyDescent="0.25">
      <c r="A27" t="s">
        <v>550</v>
      </c>
      <c r="B27" s="37">
        <v>45990</v>
      </c>
      <c r="C27" t="s">
        <v>63</v>
      </c>
      <c r="D27" t="s">
        <v>64</v>
      </c>
      <c r="E27" t="s">
        <v>75</v>
      </c>
      <c r="F27" t="s">
        <v>35</v>
      </c>
      <c r="G27" t="s">
        <v>36</v>
      </c>
      <c r="H27">
        <v>2</v>
      </c>
      <c r="I27">
        <v>18500</v>
      </c>
      <c r="J27">
        <v>11800</v>
      </c>
      <c r="K27">
        <v>0</v>
      </c>
      <c r="L27">
        <v>2</v>
      </c>
      <c r="M27" t="s">
        <v>364</v>
      </c>
      <c r="N27">
        <v>50000</v>
      </c>
      <c r="O27" t="s">
        <v>63</v>
      </c>
      <c r="P27" t="s">
        <v>826</v>
      </c>
      <c r="Q27" t="s">
        <v>644</v>
      </c>
      <c r="R27">
        <v>37000</v>
      </c>
      <c r="S27">
        <v>13400</v>
      </c>
    </row>
    <row r="28" spans="1:19" x14ac:dyDescent="0.25">
      <c r="A28" t="s">
        <v>112</v>
      </c>
      <c r="B28" s="37">
        <v>45677</v>
      </c>
      <c r="C28" t="s">
        <v>32</v>
      </c>
      <c r="D28" t="s">
        <v>83</v>
      </c>
      <c r="E28" t="s">
        <v>75</v>
      </c>
      <c r="F28" t="s">
        <v>88</v>
      </c>
      <c r="G28" t="s">
        <v>89</v>
      </c>
      <c r="H28">
        <v>2</v>
      </c>
      <c r="I28">
        <v>6800</v>
      </c>
      <c r="J28">
        <v>3900</v>
      </c>
      <c r="K28">
        <v>0</v>
      </c>
      <c r="L28">
        <v>3</v>
      </c>
      <c r="M28" t="s">
        <v>113</v>
      </c>
      <c r="N28">
        <v>50000</v>
      </c>
      <c r="O28" t="s">
        <v>32</v>
      </c>
      <c r="P28" t="s">
        <v>895</v>
      </c>
      <c r="Q28" t="s">
        <v>644</v>
      </c>
      <c r="R28">
        <v>13600</v>
      </c>
      <c r="S28">
        <v>5800</v>
      </c>
    </row>
    <row r="29" spans="1:19" x14ac:dyDescent="0.25">
      <c r="A29" t="s">
        <v>548</v>
      </c>
      <c r="B29" s="37">
        <v>45988</v>
      </c>
      <c r="C29" t="s">
        <v>32</v>
      </c>
      <c r="D29" t="s">
        <v>83</v>
      </c>
      <c r="E29" t="s">
        <v>75</v>
      </c>
      <c r="F29" t="s">
        <v>78</v>
      </c>
      <c r="G29" t="s">
        <v>36</v>
      </c>
      <c r="H29">
        <v>4</v>
      </c>
      <c r="I29">
        <v>22000</v>
      </c>
      <c r="J29">
        <v>13800</v>
      </c>
      <c r="K29">
        <v>0</v>
      </c>
      <c r="L29">
        <v>3</v>
      </c>
      <c r="M29" t="s">
        <v>220</v>
      </c>
      <c r="N29">
        <v>150000</v>
      </c>
      <c r="O29" t="s">
        <v>32</v>
      </c>
      <c r="P29" t="s">
        <v>1065</v>
      </c>
      <c r="Q29" t="s">
        <v>644</v>
      </c>
      <c r="R29">
        <v>88000</v>
      </c>
      <c r="S29">
        <v>32800</v>
      </c>
    </row>
    <row r="30" spans="1:19" x14ac:dyDescent="0.25">
      <c r="A30" t="s">
        <v>547</v>
      </c>
      <c r="B30" s="37">
        <v>45988</v>
      </c>
      <c r="C30" t="s">
        <v>32</v>
      </c>
      <c r="D30" t="s">
        <v>83</v>
      </c>
      <c r="E30" t="s">
        <v>45</v>
      </c>
      <c r="F30" t="s">
        <v>78</v>
      </c>
      <c r="G30" t="s">
        <v>36</v>
      </c>
      <c r="H30">
        <v>3</v>
      </c>
      <c r="I30">
        <v>22000</v>
      </c>
      <c r="J30">
        <v>13800</v>
      </c>
      <c r="K30">
        <v>0</v>
      </c>
      <c r="L30">
        <v>3</v>
      </c>
      <c r="M30" t="s">
        <v>282</v>
      </c>
      <c r="N30">
        <v>250000</v>
      </c>
      <c r="O30" t="s">
        <v>32</v>
      </c>
      <c r="P30" t="s">
        <v>1027</v>
      </c>
      <c r="Q30" t="s">
        <v>644</v>
      </c>
      <c r="R30">
        <v>66000</v>
      </c>
      <c r="S30">
        <v>24600</v>
      </c>
    </row>
    <row r="31" spans="1:19" x14ac:dyDescent="0.25">
      <c r="A31" t="s">
        <v>117</v>
      </c>
      <c r="B31" s="37">
        <v>45678</v>
      </c>
      <c r="C31" t="s">
        <v>39</v>
      </c>
      <c r="D31" t="s">
        <v>40</v>
      </c>
      <c r="E31" t="s">
        <v>34</v>
      </c>
      <c r="F31" t="s">
        <v>50</v>
      </c>
      <c r="G31" t="s">
        <v>51</v>
      </c>
      <c r="H31">
        <v>3</v>
      </c>
      <c r="I31">
        <v>41000</v>
      </c>
      <c r="J31">
        <v>25000</v>
      </c>
      <c r="K31">
        <v>0</v>
      </c>
      <c r="L31">
        <v>5</v>
      </c>
      <c r="M31" t="s">
        <v>118</v>
      </c>
      <c r="N31">
        <v>150000</v>
      </c>
      <c r="O31" t="s">
        <v>39</v>
      </c>
      <c r="P31" t="s">
        <v>734</v>
      </c>
      <c r="Q31" t="s">
        <v>644</v>
      </c>
      <c r="R31">
        <v>123000</v>
      </c>
      <c r="S31">
        <v>48000</v>
      </c>
    </row>
    <row r="32" spans="1:19" x14ac:dyDescent="0.25">
      <c r="A32" t="s">
        <v>119</v>
      </c>
      <c r="B32" s="37">
        <v>45678</v>
      </c>
      <c r="C32" t="s">
        <v>32</v>
      </c>
      <c r="D32" t="s">
        <v>83</v>
      </c>
      <c r="E32" t="s">
        <v>45</v>
      </c>
      <c r="F32" t="s">
        <v>88</v>
      </c>
      <c r="G32" t="s">
        <v>89</v>
      </c>
      <c r="H32">
        <v>4</v>
      </c>
      <c r="I32">
        <v>6800</v>
      </c>
      <c r="J32">
        <v>3900</v>
      </c>
      <c r="K32">
        <v>0</v>
      </c>
      <c r="L32">
        <v>4</v>
      </c>
      <c r="M32" t="s">
        <v>73</v>
      </c>
      <c r="N32">
        <v>250000</v>
      </c>
      <c r="O32" t="s">
        <v>32</v>
      </c>
      <c r="P32" t="s">
        <v>723</v>
      </c>
      <c r="Q32" t="s">
        <v>644</v>
      </c>
      <c r="R32">
        <v>27200</v>
      </c>
      <c r="S32">
        <v>11600</v>
      </c>
    </row>
    <row r="33" spans="1:19" x14ac:dyDescent="0.25">
      <c r="A33" t="s">
        <v>120</v>
      </c>
      <c r="B33" s="37">
        <v>45680</v>
      </c>
      <c r="C33" t="s">
        <v>32</v>
      </c>
      <c r="D33" t="s">
        <v>33</v>
      </c>
      <c r="E33" t="s">
        <v>45</v>
      </c>
      <c r="F33" t="s">
        <v>101</v>
      </c>
      <c r="G33" t="s">
        <v>61</v>
      </c>
      <c r="H33">
        <v>2</v>
      </c>
      <c r="I33">
        <v>28000</v>
      </c>
      <c r="J33">
        <v>18500</v>
      </c>
      <c r="K33">
        <v>0</v>
      </c>
      <c r="L33">
        <v>3</v>
      </c>
      <c r="M33" t="s">
        <v>121</v>
      </c>
      <c r="N33">
        <v>50000</v>
      </c>
      <c r="O33" t="s">
        <v>32</v>
      </c>
      <c r="P33" t="s">
        <v>935</v>
      </c>
      <c r="Q33" t="s">
        <v>644</v>
      </c>
      <c r="R33">
        <v>56000</v>
      </c>
      <c r="S33">
        <v>19000</v>
      </c>
    </row>
    <row r="34" spans="1:19" x14ac:dyDescent="0.25">
      <c r="A34" t="s">
        <v>546</v>
      </c>
      <c r="B34" s="37">
        <v>45985</v>
      </c>
      <c r="C34" t="s">
        <v>32</v>
      </c>
      <c r="D34" t="s">
        <v>83</v>
      </c>
      <c r="E34" t="s">
        <v>45</v>
      </c>
      <c r="F34" t="s">
        <v>88</v>
      </c>
      <c r="G34" t="s">
        <v>89</v>
      </c>
      <c r="H34">
        <v>1</v>
      </c>
      <c r="I34">
        <v>6800</v>
      </c>
      <c r="J34">
        <v>3900</v>
      </c>
      <c r="K34">
        <v>0</v>
      </c>
      <c r="L34">
        <v>4</v>
      </c>
      <c r="M34" t="s">
        <v>344</v>
      </c>
      <c r="N34">
        <v>500000</v>
      </c>
      <c r="O34" t="s">
        <v>32</v>
      </c>
      <c r="P34" t="s">
        <v>1090</v>
      </c>
      <c r="Q34" t="s">
        <v>644</v>
      </c>
      <c r="R34">
        <v>6800</v>
      </c>
      <c r="S34">
        <v>2900</v>
      </c>
    </row>
    <row r="35" spans="1:19" x14ac:dyDescent="0.25">
      <c r="A35" t="s">
        <v>545</v>
      </c>
      <c r="B35" s="37">
        <v>45985</v>
      </c>
      <c r="C35" t="s">
        <v>39</v>
      </c>
      <c r="D35" t="s">
        <v>40</v>
      </c>
      <c r="E35" t="s">
        <v>75</v>
      </c>
      <c r="F35" t="s">
        <v>65</v>
      </c>
      <c r="G35" t="s">
        <v>66</v>
      </c>
      <c r="H35">
        <v>2</v>
      </c>
      <c r="I35">
        <v>24000</v>
      </c>
      <c r="J35">
        <v>14500</v>
      </c>
      <c r="K35">
        <v>0</v>
      </c>
      <c r="L35">
        <v>5</v>
      </c>
      <c r="M35" t="s">
        <v>210</v>
      </c>
      <c r="N35">
        <v>250000</v>
      </c>
      <c r="O35" t="s">
        <v>39</v>
      </c>
      <c r="P35" t="s">
        <v>660</v>
      </c>
      <c r="Q35" t="s">
        <v>644</v>
      </c>
      <c r="R35">
        <v>48000</v>
      </c>
      <c r="S35">
        <v>19000</v>
      </c>
    </row>
    <row r="36" spans="1:19" x14ac:dyDescent="0.25">
      <c r="A36" t="s">
        <v>541</v>
      </c>
      <c r="B36" s="37">
        <v>45983</v>
      </c>
      <c r="C36" t="s">
        <v>32</v>
      </c>
      <c r="D36" t="s">
        <v>83</v>
      </c>
      <c r="E36" t="s">
        <v>75</v>
      </c>
      <c r="F36" t="s">
        <v>65</v>
      </c>
      <c r="G36" t="s">
        <v>66</v>
      </c>
      <c r="H36">
        <v>3</v>
      </c>
      <c r="I36">
        <v>24000</v>
      </c>
      <c r="J36">
        <v>14500</v>
      </c>
      <c r="K36">
        <v>0</v>
      </c>
      <c r="L36">
        <v>7</v>
      </c>
      <c r="M36" t="s">
        <v>174</v>
      </c>
      <c r="N36">
        <v>500000</v>
      </c>
      <c r="O36" t="s">
        <v>32</v>
      </c>
      <c r="P36" t="s">
        <v>970</v>
      </c>
      <c r="Q36" t="s">
        <v>644</v>
      </c>
      <c r="R36">
        <v>72000</v>
      </c>
      <c r="S36">
        <v>28500</v>
      </c>
    </row>
    <row r="37" spans="1:19" x14ac:dyDescent="0.25">
      <c r="A37" t="s">
        <v>540</v>
      </c>
      <c r="B37" s="37">
        <v>45983</v>
      </c>
      <c r="C37" t="s">
        <v>32</v>
      </c>
      <c r="D37" t="s">
        <v>83</v>
      </c>
      <c r="E37" t="s">
        <v>34</v>
      </c>
      <c r="F37" t="s">
        <v>35</v>
      </c>
      <c r="G37" t="s">
        <v>36</v>
      </c>
      <c r="H37">
        <v>3</v>
      </c>
      <c r="I37">
        <v>18500</v>
      </c>
      <c r="J37">
        <v>11800</v>
      </c>
      <c r="K37">
        <v>0.1</v>
      </c>
      <c r="L37">
        <v>3</v>
      </c>
      <c r="M37" t="s">
        <v>272</v>
      </c>
      <c r="N37">
        <v>50000</v>
      </c>
      <c r="O37" t="s">
        <v>32</v>
      </c>
      <c r="P37" t="s">
        <v>1119</v>
      </c>
      <c r="Q37" t="s">
        <v>644</v>
      </c>
      <c r="R37">
        <v>49950</v>
      </c>
      <c r="S37">
        <v>14550</v>
      </c>
    </row>
    <row r="38" spans="1:19" x14ac:dyDescent="0.25">
      <c r="A38" t="s">
        <v>539</v>
      </c>
      <c r="B38" s="37">
        <v>45982</v>
      </c>
      <c r="C38" t="s">
        <v>39</v>
      </c>
      <c r="D38" t="s">
        <v>40</v>
      </c>
      <c r="E38" t="s">
        <v>45</v>
      </c>
      <c r="F38" t="s">
        <v>199</v>
      </c>
      <c r="G38" t="s">
        <v>36</v>
      </c>
      <c r="H38">
        <v>2</v>
      </c>
      <c r="I38">
        <v>15500</v>
      </c>
      <c r="J38">
        <v>9900</v>
      </c>
      <c r="K38">
        <v>0</v>
      </c>
      <c r="L38">
        <v>2</v>
      </c>
      <c r="M38" t="s">
        <v>118</v>
      </c>
      <c r="N38">
        <v>150000</v>
      </c>
      <c r="O38" t="s">
        <v>39</v>
      </c>
      <c r="P38" t="s">
        <v>734</v>
      </c>
      <c r="Q38" t="s">
        <v>644</v>
      </c>
      <c r="R38">
        <v>31000</v>
      </c>
      <c r="S38">
        <v>11200</v>
      </c>
    </row>
    <row r="39" spans="1:19" x14ac:dyDescent="0.25">
      <c r="A39" t="s">
        <v>130</v>
      </c>
      <c r="B39" s="37">
        <v>45685</v>
      </c>
      <c r="C39" t="s">
        <v>32</v>
      </c>
      <c r="D39" t="s">
        <v>33</v>
      </c>
      <c r="E39" t="s">
        <v>34</v>
      </c>
      <c r="F39" t="s">
        <v>46</v>
      </c>
      <c r="G39" t="s">
        <v>47</v>
      </c>
      <c r="H39">
        <v>1</v>
      </c>
      <c r="I39">
        <v>9800</v>
      </c>
      <c r="J39">
        <v>7600</v>
      </c>
      <c r="K39">
        <v>0</v>
      </c>
      <c r="L39">
        <v>1</v>
      </c>
      <c r="M39" t="s">
        <v>131</v>
      </c>
      <c r="N39">
        <v>250000</v>
      </c>
      <c r="O39" t="s">
        <v>32</v>
      </c>
      <c r="P39" t="s">
        <v>809</v>
      </c>
      <c r="Q39" t="s">
        <v>644</v>
      </c>
      <c r="R39">
        <v>9800</v>
      </c>
      <c r="S39">
        <v>2200</v>
      </c>
    </row>
    <row r="40" spans="1:19" x14ac:dyDescent="0.25">
      <c r="A40" t="s">
        <v>132</v>
      </c>
      <c r="B40" s="37">
        <v>45687</v>
      </c>
      <c r="C40" t="s">
        <v>54</v>
      </c>
      <c r="D40" t="s">
        <v>55</v>
      </c>
      <c r="E40" t="s">
        <v>45</v>
      </c>
      <c r="F40" t="s">
        <v>46</v>
      </c>
      <c r="G40" t="s">
        <v>47</v>
      </c>
      <c r="H40">
        <v>2</v>
      </c>
      <c r="I40">
        <v>9800</v>
      </c>
      <c r="J40">
        <v>7600</v>
      </c>
      <c r="K40">
        <v>0</v>
      </c>
      <c r="L40">
        <v>3</v>
      </c>
      <c r="M40" t="s">
        <v>133</v>
      </c>
      <c r="N40">
        <v>100000</v>
      </c>
      <c r="O40" t="s">
        <v>54</v>
      </c>
      <c r="P40" t="s">
        <v>1077</v>
      </c>
      <c r="Q40" t="s">
        <v>644</v>
      </c>
      <c r="R40">
        <v>19600</v>
      </c>
      <c r="S40">
        <v>4400</v>
      </c>
    </row>
    <row r="41" spans="1:19" x14ac:dyDescent="0.25">
      <c r="A41" t="s">
        <v>537</v>
      </c>
      <c r="B41" s="37">
        <v>45980</v>
      </c>
      <c r="C41" t="s">
        <v>32</v>
      </c>
      <c r="D41" t="s">
        <v>33</v>
      </c>
      <c r="E41" t="s">
        <v>45</v>
      </c>
      <c r="F41" t="s">
        <v>35</v>
      </c>
      <c r="G41" t="s">
        <v>36</v>
      </c>
      <c r="H41">
        <v>3</v>
      </c>
      <c r="I41">
        <v>18500</v>
      </c>
      <c r="J41">
        <v>11800</v>
      </c>
      <c r="K41">
        <v>0.05</v>
      </c>
      <c r="L41">
        <v>2</v>
      </c>
      <c r="M41" t="s">
        <v>174</v>
      </c>
      <c r="N41">
        <v>500000</v>
      </c>
      <c r="O41" t="s">
        <v>32</v>
      </c>
      <c r="P41" t="s">
        <v>970</v>
      </c>
      <c r="Q41" t="s">
        <v>644</v>
      </c>
      <c r="R41">
        <v>52725</v>
      </c>
      <c r="S41">
        <v>17325</v>
      </c>
    </row>
    <row r="42" spans="1:19" x14ac:dyDescent="0.25">
      <c r="A42" t="s">
        <v>136</v>
      </c>
      <c r="B42" s="37">
        <v>45688</v>
      </c>
      <c r="C42" t="s">
        <v>54</v>
      </c>
      <c r="D42" t="s">
        <v>55</v>
      </c>
      <c r="E42" t="s">
        <v>56</v>
      </c>
      <c r="F42" t="s">
        <v>101</v>
      </c>
      <c r="G42" t="s">
        <v>61</v>
      </c>
      <c r="H42">
        <v>3</v>
      </c>
      <c r="I42">
        <v>28000</v>
      </c>
      <c r="J42">
        <v>18500</v>
      </c>
      <c r="K42">
        <v>0.05</v>
      </c>
      <c r="L42">
        <v>2</v>
      </c>
      <c r="M42" t="s">
        <v>99</v>
      </c>
      <c r="N42">
        <v>150000</v>
      </c>
      <c r="O42" t="s">
        <v>54</v>
      </c>
      <c r="P42" t="s">
        <v>947</v>
      </c>
      <c r="Q42" t="s">
        <v>644</v>
      </c>
      <c r="R42">
        <v>79800</v>
      </c>
      <c r="S42">
        <v>24300</v>
      </c>
    </row>
    <row r="43" spans="1:19" x14ac:dyDescent="0.25">
      <c r="A43" t="s">
        <v>137</v>
      </c>
      <c r="B43" s="37">
        <v>45688</v>
      </c>
      <c r="C43" t="s">
        <v>32</v>
      </c>
      <c r="D43" t="s">
        <v>33</v>
      </c>
      <c r="E43" t="s">
        <v>45</v>
      </c>
      <c r="F43" t="s">
        <v>50</v>
      </c>
      <c r="G43" t="s">
        <v>51</v>
      </c>
      <c r="H43">
        <v>2</v>
      </c>
      <c r="I43">
        <v>41000</v>
      </c>
      <c r="J43">
        <v>25000</v>
      </c>
      <c r="K43">
        <v>0</v>
      </c>
      <c r="L43">
        <v>4</v>
      </c>
      <c r="M43" t="s">
        <v>138</v>
      </c>
      <c r="N43">
        <v>250000</v>
      </c>
      <c r="O43" t="s">
        <v>32</v>
      </c>
      <c r="P43" t="s">
        <v>1052</v>
      </c>
      <c r="Q43" t="s">
        <v>644</v>
      </c>
      <c r="R43">
        <v>82000</v>
      </c>
      <c r="S43">
        <v>32000</v>
      </c>
    </row>
    <row r="44" spans="1:19" x14ac:dyDescent="0.25">
      <c r="A44" t="s">
        <v>139</v>
      </c>
      <c r="B44" s="37">
        <v>45690</v>
      </c>
      <c r="C44" t="s">
        <v>54</v>
      </c>
      <c r="D44" t="s">
        <v>55</v>
      </c>
      <c r="E44" t="s">
        <v>45</v>
      </c>
      <c r="F44" t="s">
        <v>46</v>
      </c>
      <c r="G44" t="s">
        <v>47</v>
      </c>
      <c r="H44">
        <v>3</v>
      </c>
      <c r="I44">
        <v>9800</v>
      </c>
      <c r="J44">
        <v>7600</v>
      </c>
      <c r="K44">
        <v>0.1</v>
      </c>
      <c r="L44">
        <v>2</v>
      </c>
      <c r="M44" t="s">
        <v>140</v>
      </c>
      <c r="N44">
        <v>250000</v>
      </c>
      <c r="O44" t="s">
        <v>54</v>
      </c>
      <c r="P44" t="s">
        <v>844</v>
      </c>
      <c r="Q44" t="s">
        <v>644</v>
      </c>
      <c r="R44">
        <v>26460</v>
      </c>
      <c r="S44">
        <v>3660</v>
      </c>
    </row>
    <row r="45" spans="1:19" x14ac:dyDescent="0.25">
      <c r="A45" t="s">
        <v>534</v>
      </c>
      <c r="B45" s="37">
        <v>45979</v>
      </c>
      <c r="C45" t="s">
        <v>32</v>
      </c>
      <c r="D45" t="s">
        <v>33</v>
      </c>
      <c r="E45" t="s">
        <v>34</v>
      </c>
      <c r="F45" t="s">
        <v>35</v>
      </c>
      <c r="G45" t="s">
        <v>36</v>
      </c>
      <c r="H45">
        <v>4</v>
      </c>
      <c r="I45">
        <v>18500</v>
      </c>
      <c r="J45">
        <v>11800</v>
      </c>
      <c r="K45">
        <v>0</v>
      </c>
      <c r="L45">
        <v>10</v>
      </c>
      <c r="M45" t="s">
        <v>174</v>
      </c>
      <c r="N45">
        <v>500000</v>
      </c>
      <c r="O45" t="s">
        <v>32</v>
      </c>
      <c r="P45" t="s">
        <v>970</v>
      </c>
      <c r="Q45" t="s">
        <v>644</v>
      </c>
      <c r="R45">
        <v>74000</v>
      </c>
      <c r="S45">
        <v>26800</v>
      </c>
    </row>
    <row r="46" spans="1:19" x14ac:dyDescent="0.25">
      <c r="A46" t="s">
        <v>533</v>
      </c>
      <c r="B46" s="37">
        <v>45979</v>
      </c>
      <c r="C46" t="s">
        <v>32</v>
      </c>
      <c r="D46" t="s">
        <v>33</v>
      </c>
      <c r="E46" t="s">
        <v>45</v>
      </c>
      <c r="F46" t="s">
        <v>46</v>
      </c>
      <c r="G46" t="s">
        <v>47</v>
      </c>
      <c r="H46">
        <v>2</v>
      </c>
      <c r="I46">
        <v>9800</v>
      </c>
      <c r="J46">
        <v>7600</v>
      </c>
      <c r="K46">
        <v>0.05</v>
      </c>
      <c r="L46">
        <v>2</v>
      </c>
      <c r="M46" t="s">
        <v>113</v>
      </c>
      <c r="N46">
        <v>50000</v>
      </c>
      <c r="O46" t="s">
        <v>32</v>
      </c>
      <c r="P46" t="s">
        <v>895</v>
      </c>
      <c r="Q46" t="s">
        <v>644</v>
      </c>
      <c r="R46">
        <v>18620</v>
      </c>
      <c r="S46">
        <v>3420</v>
      </c>
    </row>
    <row r="47" spans="1:19" x14ac:dyDescent="0.25">
      <c r="A47" t="s">
        <v>144</v>
      </c>
      <c r="B47" s="37">
        <v>45696</v>
      </c>
      <c r="C47" t="s">
        <v>54</v>
      </c>
      <c r="D47" t="s">
        <v>55</v>
      </c>
      <c r="E47" t="s">
        <v>56</v>
      </c>
      <c r="F47" t="s">
        <v>57</v>
      </c>
      <c r="G47" t="s">
        <v>51</v>
      </c>
      <c r="H47">
        <v>1</v>
      </c>
      <c r="I47">
        <v>27500</v>
      </c>
      <c r="J47">
        <v>16500</v>
      </c>
      <c r="K47">
        <v>0</v>
      </c>
      <c r="L47">
        <v>5</v>
      </c>
      <c r="M47" t="s">
        <v>145</v>
      </c>
      <c r="N47">
        <v>50000</v>
      </c>
      <c r="O47" t="s">
        <v>54</v>
      </c>
      <c r="P47" t="s">
        <v>898</v>
      </c>
      <c r="Q47" t="s">
        <v>644</v>
      </c>
      <c r="R47">
        <v>27500</v>
      </c>
      <c r="S47">
        <v>11000</v>
      </c>
    </row>
    <row r="48" spans="1:19" x14ac:dyDescent="0.25">
      <c r="A48" t="s">
        <v>532</v>
      </c>
      <c r="B48" s="37">
        <v>45978</v>
      </c>
      <c r="C48" t="s">
        <v>32</v>
      </c>
      <c r="D48" t="s">
        <v>83</v>
      </c>
      <c r="E48" t="s">
        <v>45</v>
      </c>
      <c r="F48" t="s">
        <v>57</v>
      </c>
      <c r="G48" t="s">
        <v>51</v>
      </c>
      <c r="H48">
        <v>7</v>
      </c>
      <c r="I48">
        <v>27500</v>
      </c>
      <c r="J48">
        <v>16500</v>
      </c>
      <c r="K48">
        <v>0</v>
      </c>
      <c r="L48">
        <v>3</v>
      </c>
      <c r="M48" t="s">
        <v>251</v>
      </c>
      <c r="N48">
        <v>250000</v>
      </c>
      <c r="O48" t="s">
        <v>32</v>
      </c>
      <c r="P48" t="s">
        <v>1048</v>
      </c>
      <c r="Q48" t="s">
        <v>644</v>
      </c>
      <c r="R48">
        <v>192500</v>
      </c>
      <c r="S48">
        <v>77000</v>
      </c>
    </row>
    <row r="49" spans="1:19" x14ac:dyDescent="0.25">
      <c r="A49" t="s">
        <v>148</v>
      </c>
      <c r="B49" s="37">
        <v>45699</v>
      </c>
      <c r="C49" t="s">
        <v>43</v>
      </c>
      <c r="D49" t="s">
        <v>44</v>
      </c>
      <c r="E49" t="s">
        <v>56</v>
      </c>
      <c r="F49" t="s">
        <v>88</v>
      </c>
      <c r="G49" t="s">
        <v>89</v>
      </c>
      <c r="H49">
        <v>10</v>
      </c>
      <c r="I49">
        <v>6800</v>
      </c>
      <c r="J49">
        <v>3900</v>
      </c>
      <c r="K49">
        <v>0</v>
      </c>
      <c r="L49">
        <v>1</v>
      </c>
      <c r="M49" t="s">
        <v>149</v>
      </c>
      <c r="N49">
        <v>100000</v>
      </c>
      <c r="O49" t="s">
        <v>43</v>
      </c>
      <c r="P49" t="s">
        <v>881</v>
      </c>
      <c r="Q49" t="s">
        <v>644</v>
      </c>
      <c r="R49">
        <v>68000</v>
      </c>
      <c r="S49">
        <v>29000</v>
      </c>
    </row>
    <row r="50" spans="1:19" x14ac:dyDescent="0.25">
      <c r="A50" t="s">
        <v>531</v>
      </c>
      <c r="B50" s="37">
        <v>45978</v>
      </c>
      <c r="C50" t="s">
        <v>43</v>
      </c>
      <c r="D50" t="s">
        <v>44</v>
      </c>
      <c r="E50" t="s">
        <v>75</v>
      </c>
      <c r="F50" t="s">
        <v>65</v>
      </c>
      <c r="G50" t="s">
        <v>66</v>
      </c>
      <c r="H50">
        <v>1</v>
      </c>
      <c r="I50">
        <v>24000</v>
      </c>
      <c r="J50">
        <v>14500</v>
      </c>
      <c r="K50">
        <v>0</v>
      </c>
      <c r="L50">
        <v>3</v>
      </c>
      <c r="M50" t="s">
        <v>280</v>
      </c>
      <c r="N50">
        <v>150000</v>
      </c>
      <c r="O50" t="s">
        <v>43</v>
      </c>
      <c r="P50" t="s">
        <v>1153</v>
      </c>
      <c r="Q50" t="s">
        <v>644</v>
      </c>
      <c r="R50">
        <v>24000</v>
      </c>
      <c r="S50">
        <v>9500</v>
      </c>
    </row>
    <row r="51" spans="1:19" x14ac:dyDescent="0.25">
      <c r="A51" t="s">
        <v>530</v>
      </c>
      <c r="B51" s="37">
        <v>45977</v>
      </c>
      <c r="C51" t="s">
        <v>32</v>
      </c>
      <c r="D51" t="s">
        <v>83</v>
      </c>
      <c r="E51" t="s">
        <v>45</v>
      </c>
      <c r="F51" t="s">
        <v>60</v>
      </c>
      <c r="G51" t="s">
        <v>61</v>
      </c>
      <c r="H51">
        <v>3</v>
      </c>
      <c r="I51">
        <v>12000</v>
      </c>
      <c r="J51">
        <v>7200</v>
      </c>
      <c r="K51">
        <v>0</v>
      </c>
      <c r="L51">
        <v>2</v>
      </c>
      <c r="M51" t="s">
        <v>138</v>
      </c>
      <c r="N51">
        <v>250000</v>
      </c>
      <c r="O51" t="s">
        <v>32</v>
      </c>
      <c r="P51" t="s">
        <v>1052</v>
      </c>
      <c r="Q51" t="s">
        <v>644</v>
      </c>
      <c r="R51">
        <v>36000</v>
      </c>
      <c r="S51">
        <v>14400</v>
      </c>
    </row>
    <row r="52" spans="1:19" x14ac:dyDescent="0.25">
      <c r="A52" t="s">
        <v>529</v>
      </c>
      <c r="B52" s="37">
        <v>45976</v>
      </c>
      <c r="C52" t="s">
        <v>63</v>
      </c>
      <c r="D52" t="s">
        <v>64</v>
      </c>
      <c r="E52" t="s">
        <v>45</v>
      </c>
      <c r="F52" t="s">
        <v>46</v>
      </c>
      <c r="G52" t="s">
        <v>47</v>
      </c>
      <c r="H52">
        <v>2</v>
      </c>
      <c r="I52">
        <v>9800</v>
      </c>
      <c r="J52">
        <v>7600</v>
      </c>
      <c r="K52">
        <v>0</v>
      </c>
      <c r="L52">
        <v>1</v>
      </c>
      <c r="M52" t="s">
        <v>263</v>
      </c>
      <c r="N52">
        <v>100000</v>
      </c>
      <c r="O52" t="s">
        <v>63</v>
      </c>
      <c r="P52" t="s">
        <v>930</v>
      </c>
      <c r="Q52" t="s">
        <v>644</v>
      </c>
      <c r="R52">
        <v>19600</v>
      </c>
      <c r="S52">
        <v>4400</v>
      </c>
    </row>
    <row r="53" spans="1:19" x14ac:dyDescent="0.25">
      <c r="A53" t="s">
        <v>154</v>
      </c>
      <c r="B53" s="37">
        <v>45703</v>
      </c>
      <c r="C53" t="s">
        <v>32</v>
      </c>
      <c r="D53" t="s">
        <v>83</v>
      </c>
      <c r="E53" t="s">
        <v>56</v>
      </c>
      <c r="F53" t="s">
        <v>46</v>
      </c>
      <c r="G53" t="s">
        <v>47</v>
      </c>
      <c r="H53">
        <v>4</v>
      </c>
      <c r="I53">
        <v>9800</v>
      </c>
      <c r="J53">
        <v>7600</v>
      </c>
      <c r="K53">
        <v>0</v>
      </c>
      <c r="L53">
        <v>3</v>
      </c>
      <c r="M53" t="s">
        <v>155</v>
      </c>
      <c r="N53">
        <v>100000</v>
      </c>
      <c r="O53" t="s">
        <v>32</v>
      </c>
      <c r="P53" t="s">
        <v>860</v>
      </c>
      <c r="Q53" t="s">
        <v>644</v>
      </c>
      <c r="R53">
        <v>39200</v>
      </c>
      <c r="S53">
        <v>8800</v>
      </c>
    </row>
    <row r="54" spans="1:19" x14ac:dyDescent="0.25">
      <c r="A54" t="s">
        <v>156</v>
      </c>
      <c r="B54" s="37">
        <v>45705</v>
      </c>
      <c r="C54" t="s">
        <v>43</v>
      </c>
      <c r="D54" t="s">
        <v>44</v>
      </c>
      <c r="E54" t="s">
        <v>56</v>
      </c>
      <c r="F54" t="s">
        <v>69</v>
      </c>
      <c r="G54" t="s">
        <v>66</v>
      </c>
      <c r="H54">
        <v>2</v>
      </c>
      <c r="I54">
        <v>32000</v>
      </c>
      <c r="J54">
        <v>21000</v>
      </c>
      <c r="K54">
        <v>0</v>
      </c>
      <c r="L54">
        <v>4</v>
      </c>
      <c r="M54" t="s">
        <v>157</v>
      </c>
      <c r="N54">
        <v>150000</v>
      </c>
      <c r="O54" t="s">
        <v>43</v>
      </c>
      <c r="P54" t="s">
        <v>1135</v>
      </c>
      <c r="Q54" t="s">
        <v>644</v>
      </c>
      <c r="R54">
        <v>64000</v>
      </c>
      <c r="S54">
        <v>22000</v>
      </c>
    </row>
    <row r="55" spans="1:19" x14ac:dyDescent="0.25">
      <c r="A55" t="s">
        <v>528</v>
      </c>
      <c r="B55" s="37">
        <v>45975</v>
      </c>
      <c r="C55" t="s">
        <v>54</v>
      </c>
      <c r="D55" t="s">
        <v>55</v>
      </c>
      <c r="E55" t="s">
        <v>34</v>
      </c>
      <c r="F55" t="s">
        <v>69</v>
      </c>
      <c r="G55" t="s">
        <v>66</v>
      </c>
      <c r="H55">
        <v>4</v>
      </c>
      <c r="I55">
        <v>32000</v>
      </c>
      <c r="J55">
        <v>21000</v>
      </c>
      <c r="K55">
        <v>0</v>
      </c>
      <c r="L55">
        <v>4</v>
      </c>
      <c r="M55" t="s">
        <v>355</v>
      </c>
      <c r="N55">
        <v>50000</v>
      </c>
      <c r="O55" t="s">
        <v>54</v>
      </c>
      <c r="P55" t="s">
        <v>1003</v>
      </c>
      <c r="Q55" t="s">
        <v>644</v>
      </c>
      <c r="R55">
        <v>128000</v>
      </c>
      <c r="S55">
        <v>44000</v>
      </c>
    </row>
    <row r="56" spans="1:19" x14ac:dyDescent="0.25">
      <c r="A56" t="s">
        <v>519</v>
      </c>
      <c r="B56" s="37">
        <v>45965</v>
      </c>
      <c r="C56" t="s">
        <v>32</v>
      </c>
      <c r="D56" t="s">
        <v>83</v>
      </c>
      <c r="E56" t="s">
        <v>45</v>
      </c>
      <c r="F56" t="s">
        <v>35</v>
      </c>
      <c r="G56" t="s">
        <v>36</v>
      </c>
      <c r="H56">
        <v>1</v>
      </c>
      <c r="I56">
        <v>18500</v>
      </c>
      <c r="J56">
        <v>11800</v>
      </c>
      <c r="K56">
        <v>0</v>
      </c>
      <c r="L56">
        <v>3</v>
      </c>
      <c r="M56" t="s">
        <v>282</v>
      </c>
      <c r="N56">
        <v>250000</v>
      </c>
      <c r="O56" t="s">
        <v>32</v>
      </c>
      <c r="P56" t="s">
        <v>1027</v>
      </c>
      <c r="Q56" t="s">
        <v>644</v>
      </c>
      <c r="R56">
        <v>18500</v>
      </c>
      <c r="S56">
        <v>6700</v>
      </c>
    </row>
    <row r="57" spans="1:19" x14ac:dyDescent="0.25">
      <c r="A57" t="s">
        <v>162</v>
      </c>
      <c r="B57" s="37">
        <v>45708</v>
      </c>
      <c r="C57" t="s">
        <v>32</v>
      </c>
      <c r="D57" t="s">
        <v>83</v>
      </c>
      <c r="E57" t="s">
        <v>34</v>
      </c>
      <c r="F57" t="s">
        <v>88</v>
      </c>
      <c r="G57" t="s">
        <v>89</v>
      </c>
      <c r="H57">
        <v>1</v>
      </c>
      <c r="I57">
        <v>6800</v>
      </c>
      <c r="J57">
        <v>3900</v>
      </c>
      <c r="K57">
        <v>0</v>
      </c>
      <c r="L57">
        <v>7</v>
      </c>
      <c r="M57" t="s">
        <v>163</v>
      </c>
      <c r="N57">
        <v>500000</v>
      </c>
      <c r="O57" t="s">
        <v>32</v>
      </c>
      <c r="P57" t="s">
        <v>762</v>
      </c>
      <c r="Q57" t="s">
        <v>644</v>
      </c>
      <c r="R57">
        <v>6800</v>
      </c>
      <c r="S57">
        <v>2900</v>
      </c>
    </row>
    <row r="58" spans="1:19" x14ac:dyDescent="0.25">
      <c r="A58" t="s">
        <v>517</v>
      </c>
      <c r="B58" s="37">
        <v>45964</v>
      </c>
      <c r="C58" t="s">
        <v>43</v>
      </c>
      <c r="D58" t="s">
        <v>44</v>
      </c>
      <c r="E58" t="s">
        <v>45</v>
      </c>
      <c r="F58" t="s">
        <v>35</v>
      </c>
      <c r="G58" t="s">
        <v>36</v>
      </c>
      <c r="H58">
        <v>11</v>
      </c>
      <c r="I58">
        <v>18500</v>
      </c>
      <c r="J58">
        <v>11800</v>
      </c>
      <c r="K58">
        <v>0</v>
      </c>
      <c r="L58">
        <v>5</v>
      </c>
      <c r="M58" t="s">
        <v>260</v>
      </c>
      <c r="N58">
        <v>500000</v>
      </c>
      <c r="O58" t="s">
        <v>43</v>
      </c>
      <c r="P58" t="s">
        <v>1081</v>
      </c>
      <c r="Q58" t="s">
        <v>644</v>
      </c>
      <c r="R58">
        <v>203500</v>
      </c>
      <c r="S58">
        <v>73700</v>
      </c>
    </row>
    <row r="59" spans="1:19" x14ac:dyDescent="0.25">
      <c r="A59" t="s">
        <v>515</v>
      </c>
      <c r="B59" s="37">
        <v>45963</v>
      </c>
      <c r="C59" t="s">
        <v>32</v>
      </c>
      <c r="D59" t="s">
        <v>33</v>
      </c>
      <c r="E59" t="s">
        <v>34</v>
      </c>
      <c r="F59" t="s">
        <v>35</v>
      </c>
      <c r="G59" t="s">
        <v>36</v>
      </c>
      <c r="H59">
        <v>3</v>
      </c>
      <c r="I59">
        <v>18500</v>
      </c>
      <c r="J59">
        <v>11800</v>
      </c>
      <c r="K59">
        <v>0</v>
      </c>
      <c r="L59">
        <v>5</v>
      </c>
      <c r="M59" t="s">
        <v>248</v>
      </c>
      <c r="N59">
        <v>500000</v>
      </c>
      <c r="O59" t="s">
        <v>32</v>
      </c>
      <c r="P59" t="s">
        <v>799</v>
      </c>
      <c r="Q59" t="s">
        <v>644</v>
      </c>
      <c r="R59">
        <v>55500</v>
      </c>
      <c r="S59">
        <v>20100</v>
      </c>
    </row>
    <row r="60" spans="1:19" x14ac:dyDescent="0.25">
      <c r="A60" t="s">
        <v>514</v>
      </c>
      <c r="B60" s="37">
        <v>45962</v>
      </c>
      <c r="C60" t="s">
        <v>43</v>
      </c>
      <c r="D60" t="s">
        <v>44</v>
      </c>
      <c r="E60" t="s">
        <v>56</v>
      </c>
      <c r="F60" t="s">
        <v>57</v>
      </c>
      <c r="G60" t="s">
        <v>51</v>
      </c>
      <c r="H60">
        <v>4</v>
      </c>
      <c r="I60">
        <v>27500</v>
      </c>
      <c r="J60">
        <v>16500</v>
      </c>
      <c r="K60">
        <v>0</v>
      </c>
      <c r="L60">
        <v>7</v>
      </c>
      <c r="M60" t="s">
        <v>260</v>
      </c>
      <c r="N60">
        <v>500000</v>
      </c>
      <c r="O60" t="s">
        <v>43</v>
      </c>
      <c r="P60" t="s">
        <v>1081</v>
      </c>
      <c r="Q60" t="s">
        <v>644</v>
      </c>
      <c r="R60">
        <v>110000</v>
      </c>
      <c r="S60">
        <v>44000</v>
      </c>
    </row>
    <row r="61" spans="1:19" x14ac:dyDescent="0.25">
      <c r="A61" t="s">
        <v>168</v>
      </c>
      <c r="B61" s="37">
        <v>45711</v>
      </c>
      <c r="C61" t="s">
        <v>32</v>
      </c>
      <c r="D61" t="s">
        <v>83</v>
      </c>
      <c r="E61" t="s">
        <v>45</v>
      </c>
      <c r="F61" t="s">
        <v>57</v>
      </c>
      <c r="G61" t="s">
        <v>51</v>
      </c>
      <c r="H61">
        <v>4</v>
      </c>
      <c r="I61">
        <v>27500</v>
      </c>
      <c r="J61">
        <v>16500</v>
      </c>
      <c r="K61">
        <v>0.05</v>
      </c>
      <c r="L61">
        <v>1</v>
      </c>
      <c r="M61" t="s">
        <v>169</v>
      </c>
      <c r="N61">
        <v>100000</v>
      </c>
      <c r="O61" t="s">
        <v>32</v>
      </c>
      <c r="P61" t="s">
        <v>1073</v>
      </c>
      <c r="Q61" t="s">
        <v>644</v>
      </c>
      <c r="R61">
        <v>104500</v>
      </c>
      <c r="S61">
        <v>38500</v>
      </c>
    </row>
    <row r="62" spans="1:19" x14ac:dyDescent="0.25">
      <c r="A62" t="s">
        <v>170</v>
      </c>
      <c r="B62" s="37">
        <v>45712</v>
      </c>
      <c r="C62" t="s">
        <v>32</v>
      </c>
      <c r="D62" t="s">
        <v>83</v>
      </c>
      <c r="E62" t="s">
        <v>45</v>
      </c>
      <c r="F62" t="s">
        <v>46</v>
      </c>
      <c r="G62" t="s">
        <v>47</v>
      </c>
      <c r="H62">
        <v>2</v>
      </c>
      <c r="I62">
        <v>9800</v>
      </c>
      <c r="J62">
        <v>7600</v>
      </c>
      <c r="K62">
        <v>0</v>
      </c>
      <c r="L62">
        <v>5</v>
      </c>
      <c r="M62" t="s">
        <v>155</v>
      </c>
      <c r="N62">
        <v>100000</v>
      </c>
      <c r="O62" t="s">
        <v>32</v>
      </c>
      <c r="P62" t="s">
        <v>860</v>
      </c>
      <c r="Q62" t="s">
        <v>644</v>
      </c>
      <c r="R62">
        <v>19600</v>
      </c>
      <c r="S62">
        <v>4400</v>
      </c>
    </row>
    <row r="63" spans="1:19" x14ac:dyDescent="0.25">
      <c r="A63" t="s">
        <v>512</v>
      </c>
      <c r="B63" s="37">
        <v>45960</v>
      </c>
      <c r="C63" t="s">
        <v>43</v>
      </c>
      <c r="D63" t="s">
        <v>44</v>
      </c>
      <c r="E63" t="s">
        <v>45</v>
      </c>
      <c r="F63" t="s">
        <v>78</v>
      </c>
      <c r="G63" t="s">
        <v>36</v>
      </c>
      <c r="H63">
        <v>1</v>
      </c>
      <c r="I63">
        <v>22000</v>
      </c>
      <c r="J63">
        <v>13800</v>
      </c>
      <c r="K63">
        <v>0</v>
      </c>
      <c r="L63">
        <v>1</v>
      </c>
      <c r="M63" t="s">
        <v>149</v>
      </c>
      <c r="N63">
        <v>100000</v>
      </c>
      <c r="O63" t="s">
        <v>43</v>
      </c>
      <c r="P63" t="s">
        <v>881</v>
      </c>
      <c r="Q63" t="s">
        <v>644</v>
      </c>
      <c r="R63">
        <v>22000</v>
      </c>
      <c r="S63">
        <v>8200</v>
      </c>
    </row>
    <row r="64" spans="1:19" x14ac:dyDescent="0.25">
      <c r="A64" t="s">
        <v>173</v>
      </c>
      <c r="B64" s="37">
        <v>45714</v>
      </c>
      <c r="C64" t="s">
        <v>32</v>
      </c>
      <c r="D64" t="s">
        <v>33</v>
      </c>
      <c r="E64" t="s">
        <v>75</v>
      </c>
      <c r="F64" t="s">
        <v>35</v>
      </c>
      <c r="G64" t="s">
        <v>36</v>
      </c>
      <c r="H64">
        <v>3</v>
      </c>
      <c r="I64">
        <v>18500</v>
      </c>
      <c r="J64">
        <v>11800</v>
      </c>
      <c r="K64">
        <v>0.1</v>
      </c>
      <c r="L64">
        <v>2</v>
      </c>
      <c r="M64" t="s">
        <v>174</v>
      </c>
      <c r="N64">
        <v>500000</v>
      </c>
      <c r="O64" t="s">
        <v>32</v>
      </c>
      <c r="P64" t="s">
        <v>970</v>
      </c>
      <c r="Q64" t="s">
        <v>644</v>
      </c>
      <c r="R64">
        <v>49950</v>
      </c>
      <c r="S64">
        <v>14550</v>
      </c>
    </row>
    <row r="65" spans="1:19" x14ac:dyDescent="0.25">
      <c r="A65" t="s">
        <v>511</v>
      </c>
      <c r="B65" s="37">
        <v>45959</v>
      </c>
      <c r="C65" t="s">
        <v>43</v>
      </c>
      <c r="D65" t="s">
        <v>44</v>
      </c>
      <c r="E65" t="s">
        <v>34</v>
      </c>
      <c r="F65" t="s">
        <v>60</v>
      </c>
      <c r="G65" t="s">
        <v>61</v>
      </c>
      <c r="H65">
        <v>2</v>
      </c>
      <c r="I65">
        <v>12000</v>
      </c>
      <c r="J65">
        <v>7200</v>
      </c>
      <c r="K65">
        <v>0</v>
      </c>
      <c r="L65">
        <v>2</v>
      </c>
      <c r="M65" t="s">
        <v>385</v>
      </c>
      <c r="N65">
        <v>250000</v>
      </c>
      <c r="O65" t="s">
        <v>43</v>
      </c>
      <c r="P65" t="s">
        <v>906</v>
      </c>
      <c r="Q65" t="s">
        <v>644</v>
      </c>
      <c r="R65">
        <v>24000</v>
      </c>
      <c r="S65">
        <v>9600</v>
      </c>
    </row>
    <row r="66" spans="1:19" x14ac:dyDescent="0.25">
      <c r="A66" t="s">
        <v>510</v>
      </c>
      <c r="B66" s="37">
        <v>45959</v>
      </c>
      <c r="C66" t="s">
        <v>32</v>
      </c>
      <c r="D66" t="s">
        <v>33</v>
      </c>
      <c r="E66" t="s">
        <v>75</v>
      </c>
      <c r="F66" t="s">
        <v>72</v>
      </c>
      <c r="G66" t="s">
        <v>47</v>
      </c>
      <c r="H66">
        <v>3</v>
      </c>
      <c r="I66">
        <v>46000</v>
      </c>
      <c r="J66">
        <v>39000</v>
      </c>
      <c r="K66">
        <v>0</v>
      </c>
      <c r="L66">
        <v>4</v>
      </c>
      <c r="M66" t="s">
        <v>344</v>
      </c>
      <c r="N66">
        <v>500000</v>
      </c>
      <c r="O66" t="s">
        <v>32</v>
      </c>
      <c r="P66" t="s">
        <v>1090</v>
      </c>
      <c r="Q66" t="s">
        <v>644</v>
      </c>
      <c r="R66">
        <v>138000</v>
      </c>
      <c r="S66">
        <v>21000</v>
      </c>
    </row>
    <row r="67" spans="1:19" x14ac:dyDescent="0.25">
      <c r="A67" t="s">
        <v>506</v>
      </c>
      <c r="B67" s="37">
        <v>45955</v>
      </c>
      <c r="C67" t="s">
        <v>54</v>
      </c>
      <c r="D67" t="s">
        <v>55</v>
      </c>
      <c r="E67" t="s">
        <v>75</v>
      </c>
      <c r="F67" t="s">
        <v>72</v>
      </c>
      <c r="G67" t="s">
        <v>47</v>
      </c>
      <c r="H67">
        <v>1</v>
      </c>
      <c r="I67">
        <v>46000</v>
      </c>
      <c r="J67">
        <v>39000</v>
      </c>
      <c r="K67">
        <v>0</v>
      </c>
      <c r="L67">
        <v>3</v>
      </c>
      <c r="M67" t="s">
        <v>355</v>
      </c>
      <c r="N67">
        <v>50000</v>
      </c>
      <c r="O67" t="s">
        <v>54</v>
      </c>
      <c r="P67" t="s">
        <v>1003</v>
      </c>
      <c r="Q67" t="s">
        <v>644</v>
      </c>
      <c r="R67">
        <v>46000</v>
      </c>
      <c r="S67">
        <v>7000</v>
      </c>
    </row>
    <row r="68" spans="1:19" x14ac:dyDescent="0.25">
      <c r="A68" t="s">
        <v>504</v>
      </c>
      <c r="B68" s="37">
        <v>45954</v>
      </c>
      <c r="C68" t="s">
        <v>43</v>
      </c>
      <c r="D68" t="s">
        <v>44</v>
      </c>
      <c r="E68" t="s">
        <v>45</v>
      </c>
      <c r="F68" t="s">
        <v>88</v>
      </c>
      <c r="G68" t="s">
        <v>89</v>
      </c>
      <c r="H68">
        <v>10</v>
      </c>
      <c r="I68">
        <v>6800</v>
      </c>
      <c r="J68">
        <v>3900</v>
      </c>
      <c r="K68">
        <v>0</v>
      </c>
      <c r="L68">
        <v>1</v>
      </c>
      <c r="M68" t="s">
        <v>385</v>
      </c>
      <c r="N68">
        <v>250000</v>
      </c>
      <c r="O68" t="s">
        <v>43</v>
      </c>
      <c r="P68" t="s">
        <v>906</v>
      </c>
      <c r="Q68" t="s">
        <v>644</v>
      </c>
      <c r="R68">
        <v>68000</v>
      </c>
      <c r="S68">
        <v>29000</v>
      </c>
    </row>
    <row r="69" spans="1:19" x14ac:dyDescent="0.25">
      <c r="A69" t="s">
        <v>182</v>
      </c>
      <c r="B69" s="37">
        <v>45721</v>
      </c>
      <c r="C69" t="s">
        <v>32</v>
      </c>
      <c r="D69" t="s">
        <v>83</v>
      </c>
      <c r="E69" t="s">
        <v>34</v>
      </c>
      <c r="F69" t="s">
        <v>35</v>
      </c>
      <c r="G69" t="s">
        <v>36</v>
      </c>
      <c r="H69">
        <v>2</v>
      </c>
      <c r="I69">
        <v>18500</v>
      </c>
      <c r="J69">
        <v>11800</v>
      </c>
      <c r="K69">
        <v>0</v>
      </c>
      <c r="L69">
        <v>2</v>
      </c>
      <c r="M69" t="s">
        <v>97</v>
      </c>
      <c r="N69">
        <v>150000</v>
      </c>
      <c r="O69" t="s">
        <v>32</v>
      </c>
      <c r="P69" t="s">
        <v>1056</v>
      </c>
      <c r="Q69" t="s">
        <v>644</v>
      </c>
      <c r="R69">
        <v>37000</v>
      </c>
      <c r="S69">
        <v>13400</v>
      </c>
    </row>
    <row r="70" spans="1:19" x14ac:dyDescent="0.25">
      <c r="A70" t="s">
        <v>503</v>
      </c>
      <c r="B70" s="37">
        <v>45952</v>
      </c>
      <c r="C70" t="s">
        <v>32</v>
      </c>
      <c r="D70" t="s">
        <v>33</v>
      </c>
      <c r="E70" t="s">
        <v>45</v>
      </c>
      <c r="F70" t="s">
        <v>60</v>
      </c>
      <c r="G70" t="s">
        <v>61</v>
      </c>
      <c r="H70">
        <v>2</v>
      </c>
      <c r="I70">
        <v>12000</v>
      </c>
      <c r="J70">
        <v>7200</v>
      </c>
      <c r="K70">
        <v>0</v>
      </c>
      <c r="L70">
        <v>2</v>
      </c>
      <c r="M70" t="s">
        <v>121</v>
      </c>
      <c r="N70">
        <v>50000</v>
      </c>
      <c r="O70" t="s">
        <v>32</v>
      </c>
      <c r="P70" t="s">
        <v>935</v>
      </c>
      <c r="Q70" t="s">
        <v>644</v>
      </c>
      <c r="R70">
        <v>24000</v>
      </c>
      <c r="S70">
        <v>9600</v>
      </c>
    </row>
    <row r="71" spans="1:19" x14ac:dyDescent="0.25">
      <c r="A71" t="s">
        <v>502</v>
      </c>
      <c r="B71" s="37">
        <v>45952</v>
      </c>
      <c r="C71" t="s">
        <v>32</v>
      </c>
      <c r="D71" t="s">
        <v>83</v>
      </c>
      <c r="E71" t="s">
        <v>56</v>
      </c>
      <c r="F71" t="s">
        <v>60</v>
      </c>
      <c r="G71" t="s">
        <v>61</v>
      </c>
      <c r="H71">
        <v>2</v>
      </c>
      <c r="I71">
        <v>12000</v>
      </c>
      <c r="J71">
        <v>7200</v>
      </c>
      <c r="K71">
        <v>0</v>
      </c>
      <c r="L71">
        <v>3</v>
      </c>
      <c r="M71" t="s">
        <v>344</v>
      </c>
      <c r="N71">
        <v>500000</v>
      </c>
      <c r="O71" t="s">
        <v>32</v>
      </c>
      <c r="P71" t="s">
        <v>1090</v>
      </c>
      <c r="Q71" t="s">
        <v>644</v>
      </c>
      <c r="R71">
        <v>24000</v>
      </c>
      <c r="S71">
        <v>9600</v>
      </c>
    </row>
    <row r="72" spans="1:19" x14ac:dyDescent="0.25">
      <c r="A72" t="s">
        <v>498</v>
      </c>
      <c r="B72" s="37">
        <v>45947</v>
      </c>
      <c r="C72" t="s">
        <v>54</v>
      </c>
      <c r="D72" t="s">
        <v>55</v>
      </c>
      <c r="E72" t="s">
        <v>45</v>
      </c>
      <c r="F72" t="s">
        <v>88</v>
      </c>
      <c r="G72" t="s">
        <v>89</v>
      </c>
      <c r="H72">
        <v>1</v>
      </c>
      <c r="I72">
        <v>6800</v>
      </c>
      <c r="J72">
        <v>3900</v>
      </c>
      <c r="K72">
        <v>0</v>
      </c>
      <c r="L72">
        <v>5</v>
      </c>
      <c r="M72" t="s">
        <v>133</v>
      </c>
      <c r="N72">
        <v>100000</v>
      </c>
      <c r="O72" t="s">
        <v>54</v>
      </c>
      <c r="P72" t="s">
        <v>1077</v>
      </c>
      <c r="Q72" t="s">
        <v>644</v>
      </c>
      <c r="R72">
        <v>6800</v>
      </c>
      <c r="S72">
        <v>2900</v>
      </c>
    </row>
    <row r="73" spans="1:19" x14ac:dyDescent="0.25">
      <c r="A73" t="s">
        <v>187</v>
      </c>
      <c r="B73" s="37">
        <v>45726</v>
      </c>
      <c r="C73" t="s">
        <v>43</v>
      </c>
      <c r="D73" t="s">
        <v>44</v>
      </c>
      <c r="E73" t="s">
        <v>75</v>
      </c>
      <c r="F73" t="s">
        <v>65</v>
      </c>
      <c r="G73" t="s">
        <v>66</v>
      </c>
      <c r="H73">
        <v>2</v>
      </c>
      <c r="I73">
        <v>24000</v>
      </c>
      <c r="J73">
        <v>14500</v>
      </c>
      <c r="K73">
        <v>0</v>
      </c>
      <c r="L73">
        <v>3</v>
      </c>
      <c r="M73" t="s">
        <v>188</v>
      </c>
      <c r="N73">
        <v>500000</v>
      </c>
      <c r="O73" t="s">
        <v>43</v>
      </c>
      <c r="P73" t="s">
        <v>689</v>
      </c>
      <c r="Q73" t="s">
        <v>644</v>
      </c>
      <c r="R73">
        <v>48000</v>
      </c>
      <c r="S73">
        <v>19000</v>
      </c>
    </row>
    <row r="74" spans="1:19" x14ac:dyDescent="0.25">
      <c r="A74" t="s">
        <v>189</v>
      </c>
      <c r="B74" s="37">
        <v>45727</v>
      </c>
      <c r="C74" t="s">
        <v>32</v>
      </c>
      <c r="D74" t="s">
        <v>83</v>
      </c>
      <c r="E74" t="s">
        <v>34</v>
      </c>
      <c r="F74" t="s">
        <v>72</v>
      </c>
      <c r="G74" t="s">
        <v>47</v>
      </c>
      <c r="H74">
        <v>5</v>
      </c>
      <c r="I74">
        <v>46000</v>
      </c>
      <c r="J74">
        <v>39000</v>
      </c>
      <c r="K74">
        <v>0</v>
      </c>
      <c r="L74">
        <v>3</v>
      </c>
      <c r="M74" t="s">
        <v>79</v>
      </c>
      <c r="N74">
        <v>500000</v>
      </c>
      <c r="O74" t="s">
        <v>32</v>
      </c>
      <c r="P74" t="s">
        <v>1102</v>
      </c>
      <c r="Q74" t="s">
        <v>644</v>
      </c>
      <c r="R74">
        <v>230000</v>
      </c>
      <c r="S74">
        <v>35000</v>
      </c>
    </row>
    <row r="75" spans="1:19" x14ac:dyDescent="0.25">
      <c r="A75" t="s">
        <v>497</v>
      </c>
      <c r="B75" s="37">
        <v>45947</v>
      </c>
      <c r="C75" t="s">
        <v>39</v>
      </c>
      <c r="D75" t="s">
        <v>40</v>
      </c>
      <c r="E75" t="s">
        <v>56</v>
      </c>
      <c r="F75" t="s">
        <v>57</v>
      </c>
      <c r="G75" t="s">
        <v>51</v>
      </c>
      <c r="H75">
        <v>2</v>
      </c>
      <c r="I75">
        <v>27500</v>
      </c>
      <c r="J75">
        <v>16500</v>
      </c>
      <c r="K75">
        <v>0</v>
      </c>
      <c r="L75">
        <v>1</v>
      </c>
      <c r="M75" t="s">
        <v>373</v>
      </c>
      <c r="N75">
        <v>500000</v>
      </c>
      <c r="O75" t="s">
        <v>39</v>
      </c>
      <c r="P75" t="s">
        <v>647</v>
      </c>
      <c r="Q75" t="s">
        <v>644</v>
      </c>
      <c r="R75">
        <v>55000</v>
      </c>
      <c r="S75">
        <v>22000</v>
      </c>
    </row>
    <row r="76" spans="1:19" x14ac:dyDescent="0.25">
      <c r="A76" t="s">
        <v>490</v>
      </c>
      <c r="B76" s="37">
        <v>45944</v>
      </c>
      <c r="C76" t="s">
        <v>32</v>
      </c>
      <c r="D76" t="s">
        <v>83</v>
      </c>
      <c r="E76" t="s">
        <v>75</v>
      </c>
      <c r="F76" t="s">
        <v>78</v>
      </c>
      <c r="G76" t="s">
        <v>36</v>
      </c>
      <c r="H76">
        <v>5</v>
      </c>
      <c r="I76">
        <v>22000</v>
      </c>
      <c r="J76">
        <v>13800</v>
      </c>
      <c r="K76">
        <v>0</v>
      </c>
      <c r="L76">
        <v>4</v>
      </c>
      <c r="M76" t="s">
        <v>248</v>
      </c>
      <c r="N76">
        <v>500000</v>
      </c>
      <c r="O76" t="s">
        <v>32</v>
      </c>
      <c r="P76" t="s">
        <v>799</v>
      </c>
      <c r="Q76" t="s">
        <v>644</v>
      </c>
      <c r="R76">
        <v>110000</v>
      </c>
      <c r="S76">
        <v>41000</v>
      </c>
    </row>
    <row r="77" spans="1:19" x14ac:dyDescent="0.25">
      <c r="A77" t="s">
        <v>489</v>
      </c>
      <c r="B77" s="37">
        <v>45944</v>
      </c>
      <c r="C77" t="s">
        <v>43</v>
      </c>
      <c r="D77" t="s">
        <v>44</v>
      </c>
      <c r="E77" t="s">
        <v>75</v>
      </c>
      <c r="F77" t="s">
        <v>50</v>
      </c>
      <c r="G77" t="s">
        <v>51</v>
      </c>
      <c r="H77">
        <v>2</v>
      </c>
      <c r="I77">
        <v>41000</v>
      </c>
      <c r="J77">
        <v>25000</v>
      </c>
      <c r="K77">
        <v>0</v>
      </c>
      <c r="L77">
        <v>2</v>
      </c>
      <c r="M77" t="s">
        <v>385</v>
      </c>
      <c r="N77">
        <v>250000</v>
      </c>
      <c r="O77" t="s">
        <v>43</v>
      </c>
      <c r="P77" t="s">
        <v>906</v>
      </c>
      <c r="Q77" t="s">
        <v>644</v>
      </c>
      <c r="R77">
        <v>82000</v>
      </c>
      <c r="S77">
        <v>32000</v>
      </c>
    </row>
    <row r="78" spans="1:19" x14ac:dyDescent="0.25">
      <c r="A78" t="s">
        <v>194</v>
      </c>
      <c r="B78" s="37">
        <v>45730</v>
      </c>
      <c r="C78" t="s">
        <v>43</v>
      </c>
      <c r="D78" t="s">
        <v>44</v>
      </c>
      <c r="E78" t="s">
        <v>75</v>
      </c>
      <c r="F78" t="s">
        <v>88</v>
      </c>
      <c r="G78" t="s">
        <v>89</v>
      </c>
      <c r="H78">
        <v>5</v>
      </c>
      <c r="I78">
        <v>6800</v>
      </c>
      <c r="J78">
        <v>3900</v>
      </c>
      <c r="K78">
        <v>0</v>
      </c>
      <c r="L78">
        <v>4</v>
      </c>
      <c r="M78" t="s">
        <v>195</v>
      </c>
      <c r="N78">
        <v>250000</v>
      </c>
      <c r="O78" t="s">
        <v>43</v>
      </c>
      <c r="P78" t="s">
        <v>682</v>
      </c>
      <c r="Q78" t="s">
        <v>644</v>
      </c>
      <c r="R78">
        <v>34000</v>
      </c>
      <c r="S78">
        <v>14500</v>
      </c>
    </row>
    <row r="79" spans="1:19" x14ac:dyDescent="0.25">
      <c r="A79" t="s">
        <v>487</v>
      </c>
      <c r="B79" s="37">
        <v>45943</v>
      </c>
      <c r="C79" t="s">
        <v>43</v>
      </c>
      <c r="D79" t="s">
        <v>44</v>
      </c>
      <c r="E79" t="s">
        <v>45</v>
      </c>
      <c r="F79" t="s">
        <v>101</v>
      </c>
      <c r="G79" t="s">
        <v>61</v>
      </c>
      <c r="H79">
        <v>4</v>
      </c>
      <c r="I79">
        <v>28000</v>
      </c>
      <c r="J79">
        <v>18500</v>
      </c>
      <c r="K79">
        <v>0</v>
      </c>
      <c r="L79">
        <v>2</v>
      </c>
      <c r="M79" t="s">
        <v>418</v>
      </c>
      <c r="N79">
        <v>100000</v>
      </c>
      <c r="O79" t="s">
        <v>43</v>
      </c>
      <c r="P79" t="s">
        <v>1023</v>
      </c>
      <c r="Q79" t="s">
        <v>644</v>
      </c>
      <c r="R79">
        <v>112000</v>
      </c>
      <c r="S79">
        <v>38000</v>
      </c>
    </row>
    <row r="80" spans="1:19" x14ac:dyDescent="0.25">
      <c r="A80" t="s">
        <v>485</v>
      </c>
      <c r="B80" s="37">
        <v>45942</v>
      </c>
      <c r="C80" t="s">
        <v>43</v>
      </c>
      <c r="D80" t="s">
        <v>44</v>
      </c>
      <c r="E80" t="s">
        <v>45</v>
      </c>
      <c r="F80" t="s">
        <v>46</v>
      </c>
      <c r="G80" t="s">
        <v>47</v>
      </c>
      <c r="H80">
        <v>4</v>
      </c>
      <c r="I80">
        <v>9800</v>
      </c>
      <c r="J80">
        <v>7600</v>
      </c>
      <c r="K80">
        <v>0</v>
      </c>
      <c r="L80">
        <v>4</v>
      </c>
      <c r="M80" t="s">
        <v>260</v>
      </c>
      <c r="N80">
        <v>500000</v>
      </c>
      <c r="O80" t="s">
        <v>43</v>
      </c>
      <c r="P80" t="s">
        <v>1081</v>
      </c>
      <c r="Q80" t="s">
        <v>644</v>
      </c>
      <c r="R80">
        <v>39200</v>
      </c>
      <c r="S80">
        <v>8800</v>
      </c>
    </row>
    <row r="81" spans="1:19" x14ac:dyDescent="0.25">
      <c r="A81" t="s">
        <v>483</v>
      </c>
      <c r="B81" s="37">
        <v>45941</v>
      </c>
      <c r="C81" t="s">
        <v>63</v>
      </c>
      <c r="D81" t="s">
        <v>64</v>
      </c>
      <c r="E81" t="s">
        <v>34</v>
      </c>
      <c r="F81" t="s">
        <v>35</v>
      </c>
      <c r="G81" t="s">
        <v>36</v>
      </c>
      <c r="H81">
        <v>4</v>
      </c>
      <c r="I81">
        <v>18500</v>
      </c>
      <c r="J81">
        <v>11800</v>
      </c>
      <c r="K81">
        <v>0</v>
      </c>
      <c r="L81">
        <v>4</v>
      </c>
      <c r="M81" t="s">
        <v>484</v>
      </c>
      <c r="N81">
        <v>150000</v>
      </c>
      <c r="O81" t="s">
        <v>63</v>
      </c>
      <c r="P81" t="s">
        <v>805</v>
      </c>
      <c r="Q81" t="s">
        <v>644</v>
      </c>
      <c r="R81">
        <v>74000</v>
      </c>
      <c r="S81">
        <v>26800</v>
      </c>
    </row>
    <row r="82" spans="1:19" x14ac:dyDescent="0.25">
      <c r="A82" t="s">
        <v>202</v>
      </c>
      <c r="B82" s="37">
        <v>45734</v>
      </c>
      <c r="C82" t="s">
        <v>39</v>
      </c>
      <c r="D82" t="s">
        <v>40</v>
      </c>
      <c r="E82" t="s">
        <v>75</v>
      </c>
      <c r="F82" t="s">
        <v>57</v>
      </c>
      <c r="G82" t="s">
        <v>51</v>
      </c>
      <c r="H82">
        <v>2</v>
      </c>
      <c r="I82">
        <v>27500</v>
      </c>
      <c r="J82">
        <v>16500</v>
      </c>
      <c r="K82">
        <v>0.05</v>
      </c>
      <c r="L82">
        <v>4</v>
      </c>
      <c r="M82" t="s">
        <v>118</v>
      </c>
      <c r="N82">
        <v>150000</v>
      </c>
      <c r="O82" t="s">
        <v>39</v>
      </c>
      <c r="P82" t="s">
        <v>734</v>
      </c>
      <c r="Q82" t="s">
        <v>644</v>
      </c>
      <c r="R82">
        <v>52250</v>
      </c>
      <c r="S82">
        <v>19250</v>
      </c>
    </row>
    <row r="83" spans="1:19" x14ac:dyDescent="0.25">
      <c r="A83" t="s">
        <v>203</v>
      </c>
      <c r="B83" s="37">
        <v>45735</v>
      </c>
      <c r="C83" t="s">
        <v>39</v>
      </c>
      <c r="D83" t="s">
        <v>40</v>
      </c>
      <c r="E83" t="s">
        <v>45</v>
      </c>
      <c r="F83" t="s">
        <v>199</v>
      </c>
      <c r="G83" t="s">
        <v>36</v>
      </c>
      <c r="H83">
        <v>5</v>
      </c>
      <c r="I83">
        <v>15500</v>
      </c>
      <c r="J83">
        <v>9900</v>
      </c>
      <c r="K83">
        <v>0</v>
      </c>
      <c r="L83">
        <v>2</v>
      </c>
      <c r="M83" t="s">
        <v>118</v>
      </c>
      <c r="N83">
        <v>150000</v>
      </c>
      <c r="O83" t="s">
        <v>39</v>
      </c>
      <c r="P83" t="s">
        <v>734</v>
      </c>
      <c r="Q83" t="s">
        <v>644</v>
      </c>
      <c r="R83">
        <v>77500</v>
      </c>
      <c r="S83">
        <v>28000</v>
      </c>
    </row>
    <row r="84" spans="1:19" x14ac:dyDescent="0.25">
      <c r="A84" t="s">
        <v>204</v>
      </c>
      <c r="B84" s="37">
        <v>45735</v>
      </c>
      <c r="C84" t="s">
        <v>54</v>
      </c>
      <c r="D84" t="s">
        <v>55</v>
      </c>
      <c r="E84" t="s">
        <v>34</v>
      </c>
      <c r="F84" t="s">
        <v>57</v>
      </c>
      <c r="G84" t="s">
        <v>51</v>
      </c>
      <c r="H84">
        <v>2</v>
      </c>
      <c r="I84">
        <v>27500</v>
      </c>
      <c r="J84">
        <v>16500</v>
      </c>
      <c r="K84">
        <v>0</v>
      </c>
      <c r="L84">
        <v>3</v>
      </c>
      <c r="M84" t="s">
        <v>205</v>
      </c>
      <c r="N84">
        <v>50000</v>
      </c>
      <c r="O84" t="s">
        <v>54</v>
      </c>
      <c r="P84" t="s">
        <v>1052</v>
      </c>
      <c r="Q84" t="s">
        <v>644</v>
      </c>
      <c r="R84">
        <v>55000</v>
      </c>
      <c r="S84">
        <v>22000</v>
      </c>
    </row>
    <row r="85" spans="1:19" x14ac:dyDescent="0.25">
      <c r="A85" t="s">
        <v>481</v>
      </c>
      <c r="B85" s="37">
        <v>45939</v>
      </c>
      <c r="C85" t="s">
        <v>43</v>
      </c>
      <c r="D85" t="s">
        <v>44</v>
      </c>
      <c r="E85" t="s">
        <v>75</v>
      </c>
      <c r="F85" t="s">
        <v>50</v>
      </c>
      <c r="G85" t="s">
        <v>51</v>
      </c>
      <c r="H85">
        <v>10</v>
      </c>
      <c r="I85">
        <v>41000</v>
      </c>
      <c r="J85">
        <v>25000</v>
      </c>
      <c r="K85">
        <v>0.05</v>
      </c>
      <c r="L85">
        <v>1</v>
      </c>
      <c r="M85" t="s">
        <v>260</v>
      </c>
      <c r="N85">
        <v>500000</v>
      </c>
      <c r="O85" t="s">
        <v>43</v>
      </c>
      <c r="P85" t="s">
        <v>1081</v>
      </c>
      <c r="Q85" t="s">
        <v>644</v>
      </c>
      <c r="R85">
        <v>389500</v>
      </c>
      <c r="S85">
        <v>139500</v>
      </c>
    </row>
    <row r="86" spans="1:19" x14ac:dyDescent="0.25">
      <c r="A86" t="s">
        <v>207</v>
      </c>
      <c r="B86" s="37">
        <v>45738</v>
      </c>
      <c r="C86" t="s">
        <v>63</v>
      </c>
      <c r="D86" t="s">
        <v>64</v>
      </c>
      <c r="E86" t="s">
        <v>75</v>
      </c>
      <c r="F86" t="s">
        <v>50</v>
      </c>
      <c r="G86" t="s">
        <v>51</v>
      </c>
      <c r="H86">
        <v>1</v>
      </c>
      <c r="I86">
        <v>41000</v>
      </c>
      <c r="J86">
        <v>25000</v>
      </c>
      <c r="K86">
        <v>0.05</v>
      </c>
      <c r="L86">
        <v>1</v>
      </c>
      <c r="M86" t="s">
        <v>208</v>
      </c>
      <c r="N86">
        <v>50000</v>
      </c>
      <c r="O86" t="s">
        <v>63</v>
      </c>
      <c r="P86" t="s">
        <v>718</v>
      </c>
      <c r="Q86" t="s">
        <v>644</v>
      </c>
      <c r="R86">
        <v>38950</v>
      </c>
      <c r="S86">
        <v>13950</v>
      </c>
    </row>
    <row r="87" spans="1:19" x14ac:dyDescent="0.25">
      <c r="A87" t="s">
        <v>209</v>
      </c>
      <c r="B87" s="37">
        <v>45738</v>
      </c>
      <c r="C87" t="s">
        <v>39</v>
      </c>
      <c r="D87" t="s">
        <v>40</v>
      </c>
      <c r="E87" t="s">
        <v>34</v>
      </c>
      <c r="F87" t="s">
        <v>35</v>
      </c>
      <c r="G87" t="s">
        <v>36</v>
      </c>
      <c r="H87">
        <v>8</v>
      </c>
      <c r="I87">
        <v>18500</v>
      </c>
      <c r="J87">
        <v>11800</v>
      </c>
      <c r="K87">
        <v>0</v>
      </c>
      <c r="L87">
        <v>3</v>
      </c>
      <c r="M87" t="s">
        <v>210</v>
      </c>
      <c r="N87">
        <v>250000</v>
      </c>
      <c r="O87" t="s">
        <v>39</v>
      </c>
      <c r="P87" t="s">
        <v>660</v>
      </c>
      <c r="Q87" t="s">
        <v>644</v>
      </c>
      <c r="R87">
        <v>148000</v>
      </c>
      <c r="S87">
        <v>53600</v>
      </c>
    </row>
    <row r="88" spans="1:19" x14ac:dyDescent="0.25">
      <c r="A88" t="s">
        <v>479</v>
      </c>
      <c r="B88" s="37">
        <v>45934</v>
      </c>
      <c r="C88" t="s">
        <v>32</v>
      </c>
      <c r="D88" t="s">
        <v>83</v>
      </c>
      <c r="E88" t="s">
        <v>56</v>
      </c>
      <c r="F88" t="s">
        <v>46</v>
      </c>
      <c r="G88" t="s">
        <v>47</v>
      </c>
      <c r="H88">
        <v>2</v>
      </c>
      <c r="I88">
        <v>9800</v>
      </c>
      <c r="J88">
        <v>7600</v>
      </c>
      <c r="K88">
        <v>0.05</v>
      </c>
      <c r="L88">
        <v>7</v>
      </c>
      <c r="M88" t="s">
        <v>272</v>
      </c>
      <c r="N88">
        <v>50000</v>
      </c>
      <c r="O88" t="s">
        <v>32</v>
      </c>
      <c r="P88" t="s">
        <v>1119</v>
      </c>
      <c r="Q88" t="s">
        <v>644</v>
      </c>
      <c r="R88">
        <v>18620</v>
      </c>
      <c r="S88">
        <v>3420</v>
      </c>
    </row>
    <row r="89" spans="1:19" x14ac:dyDescent="0.25">
      <c r="A89" t="s">
        <v>213</v>
      </c>
      <c r="B89" s="37">
        <v>45739</v>
      </c>
      <c r="C89" t="s">
        <v>32</v>
      </c>
      <c r="D89" t="s">
        <v>83</v>
      </c>
      <c r="E89" t="s">
        <v>34</v>
      </c>
      <c r="F89" t="s">
        <v>101</v>
      </c>
      <c r="G89" t="s">
        <v>61</v>
      </c>
      <c r="H89">
        <v>5</v>
      </c>
      <c r="I89">
        <v>28000</v>
      </c>
      <c r="J89">
        <v>18500</v>
      </c>
      <c r="K89">
        <v>0</v>
      </c>
      <c r="L89">
        <v>2</v>
      </c>
      <c r="M89" t="s">
        <v>155</v>
      </c>
      <c r="N89">
        <v>100000</v>
      </c>
      <c r="O89" t="s">
        <v>32</v>
      </c>
      <c r="P89" t="s">
        <v>860</v>
      </c>
      <c r="Q89" t="s">
        <v>644</v>
      </c>
      <c r="R89">
        <v>140000</v>
      </c>
      <c r="S89">
        <v>47500</v>
      </c>
    </row>
    <row r="90" spans="1:19" x14ac:dyDescent="0.25">
      <c r="A90" t="s">
        <v>214</v>
      </c>
      <c r="B90" s="37">
        <v>45740</v>
      </c>
      <c r="C90" t="s">
        <v>32</v>
      </c>
      <c r="D90" t="s">
        <v>33</v>
      </c>
      <c r="E90" t="s">
        <v>75</v>
      </c>
      <c r="F90" t="s">
        <v>57</v>
      </c>
      <c r="G90" t="s">
        <v>51</v>
      </c>
      <c r="H90">
        <v>5</v>
      </c>
      <c r="I90">
        <v>27500</v>
      </c>
      <c r="J90">
        <v>16500</v>
      </c>
      <c r="K90">
        <v>0</v>
      </c>
      <c r="L90">
        <v>5</v>
      </c>
      <c r="M90" t="s">
        <v>155</v>
      </c>
      <c r="N90">
        <v>100000</v>
      </c>
      <c r="O90" t="s">
        <v>32</v>
      </c>
      <c r="P90" t="s">
        <v>860</v>
      </c>
      <c r="Q90" t="s">
        <v>644</v>
      </c>
      <c r="R90">
        <v>137500</v>
      </c>
      <c r="S90">
        <v>55000</v>
      </c>
    </row>
    <row r="91" spans="1:19" x14ac:dyDescent="0.25">
      <c r="A91" t="s">
        <v>215</v>
      </c>
      <c r="B91" s="37">
        <v>45741</v>
      </c>
      <c r="C91" t="s">
        <v>54</v>
      </c>
      <c r="D91" t="s">
        <v>55</v>
      </c>
      <c r="E91" t="s">
        <v>56</v>
      </c>
      <c r="F91" t="s">
        <v>60</v>
      </c>
      <c r="G91" t="s">
        <v>61</v>
      </c>
      <c r="H91">
        <v>8</v>
      </c>
      <c r="I91">
        <v>12000</v>
      </c>
      <c r="J91">
        <v>7200</v>
      </c>
      <c r="K91">
        <v>0</v>
      </c>
      <c r="L91">
        <v>10</v>
      </c>
      <c r="M91" t="s">
        <v>99</v>
      </c>
      <c r="N91">
        <v>150000</v>
      </c>
      <c r="O91" t="s">
        <v>54</v>
      </c>
      <c r="P91" t="s">
        <v>947</v>
      </c>
      <c r="Q91" t="s">
        <v>644</v>
      </c>
      <c r="R91">
        <v>96000</v>
      </c>
      <c r="S91">
        <v>38400</v>
      </c>
    </row>
    <row r="92" spans="1:19" x14ac:dyDescent="0.25">
      <c r="A92" t="s">
        <v>478</v>
      </c>
      <c r="B92" s="37">
        <v>45933</v>
      </c>
      <c r="C92" t="s">
        <v>54</v>
      </c>
      <c r="D92" t="s">
        <v>55</v>
      </c>
      <c r="E92" t="s">
        <v>34</v>
      </c>
      <c r="F92" t="s">
        <v>72</v>
      </c>
      <c r="G92" t="s">
        <v>47</v>
      </c>
      <c r="H92">
        <v>3</v>
      </c>
      <c r="I92">
        <v>46000</v>
      </c>
      <c r="J92">
        <v>39000</v>
      </c>
      <c r="K92">
        <v>0</v>
      </c>
      <c r="L92">
        <v>4</v>
      </c>
      <c r="M92" t="s">
        <v>133</v>
      </c>
      <c r="N92">
        <v>100000</v>
      </c>
      <c r="O92" t="s">
        <v>54</v>
      </c>
      <c r="P92" t="s">
        <v>1077</v>
      </c>
      <c r="Q92" t="s">
        <v>644</v>
      </c>
      <c r="R92">
        <v>138000</v>
      </c>
      <c r="S92">
        <v>21000</v>
      </c>
    </row>
    <row r="93" spans="1:19" x14ac:dyDescent="0.25">
      <c r="A93" t="s">
        <v>477</v>
      </c>
      <c r="B93" s="37">
        <v>45932</v>
      </c>
      <c r="C93" t="s">
        <v>54</v>
      </c>
      <c r="D93" t="s">
        <v>55</v>
      </c>
      <c r="E93" t="s">
        <v>75</v>
      </c>
      <c r="F93" t="s">
        <v>101</v>
      </c>
      <c r="G93" t="s">
        <v>61</v>
      </c>
      <c r="H93">
        <v>3</v>
      </c>
      <c r="I93">
        <v>28000</v>
      </c>
      <c r="J93">
        <v>18500</v>
      </c>
      <c r="K93">
        <v>0</v>
      </c>
      <c r="L93">
        <v>1</v>
      </c>
      <c r="M93" t="s">
        <v>396</v>
      </c>
      <c r="N93">
        <v>250000</v>
      </c>
      <c r="O93" t="s">
        <v>54</v>
      </c>
      <c r="P93" t="s">
        <v>874</v>
      </c>
      <c r="Q93" t="s">
        <v>644</v>
      </c>
      <c r="R93">
        <v>84000</v>
      </c>
      <c r="S93">
        <v>28500</v>
      </c>
    </row>
    <row r="94" spans="1:19" x14ac:dyDescent="0.25">
      <c r="A94" t="s">
        <v>219</v>
      </c>
      <c r="B94" s="37">
        <v>45746</v>
      </c>
      <c r="C94" t="s">
        <v>32</v>
      </c>
      <c r="D94" t="s">
        <v>83</v>
      </c>
      <c r="E94" t="s">
        <v>45</v>
      </c>
      <c r="F94" t="s">
        <v>65</v>
      </c>
      <c r="G94" t="s">
        <v>66</v>
      </c>
      <c r="H94">
        <v>2</v>
      </c>
      <c r="I94">
        <v>24000</v>
      </c>
      <c r="J94">
        <v>14500</v>
      </c>
      <c r="K94">
        <v>0</v>
      </c>
      <c r="L94">
        <v>1</v>
      </c>
      <c r="M94" t="s">
        <v>220</v>
      </c>
      <c r="N94">
        <v>150000</v>
      </c>
      <c r="O94" t="s">
        <v>32</v>
      </c>
      <c r="P94" t="s">
        <v>1065</v>
      </c>
      <c r="Q94" t="s">
        <v>644</v>
      </c>
      <c r="R94">
        <v>48000</v>
      </c>
      <c r="S94">
        <v>19000</v>
      </c>
    </row>
    <row r="95" spans="1:19" x14ac:dyDescent="0.25">
      <c r="A95" t="s">
        <v>221</v>
      </c>
      <c r="B95" s="37">
        <v>45747</v>
      </c>
      <c r="C95" t="s">
        <v>32</v>
      </c>
      <c r="D95" t="s">
        <v>33</v>
      </c>
      <c r="E95" t="s">
        <v>45</v>
      </c>
      <c r="F95" t="s">
        <v>101</v>
      </c>
      <c r="G95" t="s">
        <v>61</v>
      </c>
      <c r="H95">
        <v>1</v>
      </c>
      <c r="I95">
        <v>28000</v>
      </c>
      <c r="J95">
        <v>18500</v>
      </c>
      <c r="K95">
        <v>0</v>
      </c>
      <c r="L95">
        <v>4</v>
      </c>
      <c r="M95" t="s">
        <v>84</v>
      </c>
      <c r="N95">
        <v>150000</v>
      </c>
      <c r="O95" t="s">
        <v>32</v>
      </c>
      <c r="P95" t="s">
        <v>794</v>
      </c>
      <c r="Q95" t="s">
        <v>644</v>
      </c>
      <c r="R95">
        <v>28000</v>
      </c>
      <c r="S95">
        <v>9500</v>
      </c>
    </row>
    <row r="96" spans="1:19" x14ac:dyDescent="0.25">
      <c r="A96" t="s">
        <v>476</v>
      </c>
      <c r="B96" s="37">
        <v>45932</v>
      </c>
      <c r="C96" t="s">
        <v>54</v>
      </c>
      <c r="D96" t="s">
        <v>55</v>
      </c>
      <c r="E96" t="s">
        <v>34</v>
      </c>
      <c r="F96" t="s">
        <v>35</v>
      </c>
      <c r="G96" t="s">
        <v>36</v>
      </c>
      <c r="H96">
        <v>1</v>
      </c>
      <c r="I96">
        <v>18500</v>
      </c>
      <c r="J96">
        <v>11800</v>
      </c>
      <c r="K96">
        <v>0</v>
      </c>
      <c r="L96">
        <v>2</v>
      </c>
      <c r="M96" t="s">
        <v>227</v>
      </c>
      <c r="N96">
        <v>500000</v>
      </c>
      <c r="O96" t="s">
        <v>54</v>
      </c>
      <c r="P96" t="s">
        <v>1060</v>
      </c>
      <c r="Q96" t="s">
        <v>644</v>
      </c>
      <c r="R96">
        <v>18500</v>
      </c>
      <c r="S96">
        <v>6700</v>
      </c>
    </row>
    <row r="97" spans="1:19" x14ac:dyDescent="0.25">
      <c r="A97" t="s">
        <v>223</v>
      </c>
      <c r="B97" s="37">
        <v>45749</v>
      </c>
      <c r="C97" t="s">
        <v>54</v>
      </c>
      <c r="D97" t="s">
        <v>55</v>
      </c>
      <c r="E97" t="s">
        <v>45</v>
      </c>
      <c r="F97" t="s">
        <v>88</v>
      </c>
      <c r="G97" t="s">
        <v>89</v>
      </c>
      <c r="H97">
        <v>2</v>
      </c>
      <c r="I97">
        <v>6800</v>
      </c>
      <c r="J97">
        <v>3900</v>
      </c>
      <c r="K97">
        <v>0</v>
      </c>
      <c r="L97">
        <v>4</v>
      </c>
      <c r="M97" t="s">
        <v>140</v>
      </c>
      <c r="N97">
        <v>250000</v>
      </c>
      <c r="O97" t="s">
        <v>54</v>
      </c>
      <c r="P97" t="s">
        <v>844</v>
      </c>
      <c r="Q97" t="s">
        <v>644</v>
      </c>
      <c r="R97">
        <v>13600</v>
      </c>
      <c r="S97">
        <v>5800</v>
      </c>
    </row>
    <row r="98" spans="1:19" x14ac:dyDescent="0.25">
      <c r="A98" t="s">
        <v>224</v>
      </c>
      <c r="B98" s="37">
        <v>45750</v>
      </c>
      <c r="C98" t="s">
        <v>54</v>
      </c>
      <c r="D98" t="s">
        <v>55</v>
      </c>
      <c r="E98" t="s">
        <v>45</v>
      </c>
      <c r="F98" t="s">
        <v>78</v>
      </c>
      <c r="G98" t="s">
        <v>36</v>
      </c>
      <c r="H98">
        <v>4</v>
      </c>
      <c r="I98">
        <v>22000</v>
      </c>
      <c r="J98">
        <v>13800</v>
      </c>
      <c r="K98">
        <v>0</v>
      </c>
      <c r="L98">
        <v>2</v>
      </c>
      <c r="M98" t="s">
        <v>99</v>
      </c>
      <c r="N98">
        <v>150000</v>
      </c>
      <c r="O98" t="s">
        <v>54</v>
      </c>
      <c r="P98" t="s">
        <v>947</v>
      </c>
      <c r="Q98" t="s">
        <v>644</v>
      </c>
      <c r="R98">
        <v>88000</v>
      </c>
      <c r="S98">
        <v>32800</v>
      </c>
    </row>
    <row r="99" spans="1:19" x14ac:dyDescent="0.25">
      <c r="A99" t="s">
        <v>474</v>
      </c>
      <c r="B99" s="37">
        <v>45931</v>
      </c>
      <c r="C99" t="s">
        <v>63</v>
      </c>
      <c r="D99" t="s">
        <v>64</v>
      </c>
      <c r="E99" t="s">
        <v>34</v>
      </c>
      <c r="F99" t="s">
        <v>199</v>
      </c>
      <c r="G99" t="s">
        <v>36</v>
      </c>
      <c r="H99">
        <v>1</v>
      </c>
      <c r="I99">
        <v>15500</v>
      </c>
      <c r="J99">
        <v>9900</v>
      </c>
      <c r="K99">
        <v>0</v>
      </c>
      <c r="L99">
        <v>1</v>
      </c>
      <c r="M99" t="s">
        <v>208</v>
      </c>
      <c r="N99">
        <v>50000</v>
      </c>
      <c r="O99" t="s">
        <v>63</v>
      </c>
      <c r="P99" t="s">
        <v>718</v>
      </c>
      <c r="Q99" t="s">
        <v>644</v>
      </c>
      <c r="R99">
        <v>15500</v>
      </c>
      <c r="S99">
        <v>5600</v>
      </c>
    </row>
    <row r="100" spans="1:19" x14ac:dyDescent="0.25">
      <c r="A100" t="s">
        <v>226</v>
      </c>
      <c r="B100" s="37">
        <v>45754</v>
      </c>
      <c r="C100" t="s">
        <v>54</v>
      </c>
      <c r="D100" t="s">
        <v>55</v>
      </c>
      <c r="E100" t="s">
        <v>34</v>
      </c>
      <c r="F100" t="s">
        <v>35</v>
      </c>
      <c r="G100" t="s">
        <v>36</v>
      </c>
      <c r="H100">
        <v>3</v>
      </c>
      <c r="I100">
        <v>18500</v>
      </c>
      <c r="J100">
        <v>11800</v>
      </c>
      <c r="K100">
        <v>0</v>
      </c>
      <c r="L100">
        <v>1</v>
      </c>
      <c r="M100" t="s">
        <v>227</v>
      </c>
      <c r="N100">
        <v>500000</v>
      </c>
      <c r="O100" t="s">
        <v>54</v>
      </c>
      <c r="P100" t="s">
        <v>1060</v>
      </c>
      <c r="Q100" t="s">
        <v>644</v>
      </c>
      <c r="R100">
        <v>55500</v>
      </c>
      <c r="S100">
        <v>20100</v>
      </c>
    </row>
    <row r="101" spans="1:19" x14ac:dyDescent="0.25">
      <c r="A101" t="s">
        <v>228</v>
      </c>
      <c r="B101" s="37">
        <v>45754</v>
      </c>
      <c r="C101" t="s">
        <v>32</v>
      </c>
      <c r="D101" t="s">
        <v>33</v>
      </c>
      <c r="E101" t="s">
        <v>34</v>
      </c>
      <c r="F101" t="s">
        <v>50</v>
      </c>
      <c r="G101" t="s">
        <v>51</v>
      </c>
      <c r="H101">
        <v>3</v>
      </c>
      <c r="I101">
        <v>41000</v>
      </c>
      <c r="J101">
        <v>25000</v>
      </c>
      <c r="K101">
        <v>0</v>
      </c>
      <c r="L101">
        <v>3</v>
      </c>
      <c r="M101" t="s">
        <v>229</v>
      </c>
      <c r="N101">
        <v>500000</v>
      </c>
      <c r="O101" t="s">
        <v>32</v>
      </c>
      <c r="P101" t="s">
        <v>943</v>
      </c>
      <c r="Q101" t="s">
        <v>644</v>
      </c>
      <c r="R101">
        <v>123000</v>
      </c>
      <c r="S101">
        <v>48000</v>
      </c>
    </row>
    <row r="102" spans="1:19" x14ac:dyDescent="0.25">
      <c r="A102" t="s">
        <v>472</v>
      </c>
      <c r="B102" s="37">
        <v>45926</v>
      </c>
      <c r="C102" t="s">
        <v>43</v>
      </c>
      <c r="D102" t="s">
        <v>44</v>
      </c>
      <c r="E102" t="s">
        <v>75</v>
      </c>
      <c r="F102" t="s">
        <v>35</v>
      </c>
      <c r="G102" t="s">
        <v>36</v>
      </c>
      <c r="H102">
        <v>2</v>
      </c>
      <c r="I102">
        <v>18500</v>
      </c>
      <c r="J102">
        <v>11800</v>
      </c>
      <c r="K102">
        <v>0</v>
      </c>
      <c r="L102">
        <v>2</v>
      </c>
      <c r="M102" t="s">
        <v>52</v>
      </c>
      <c r="N102">
        <v>500000</v>
      </c>
      <c r="O102" t="s">
        <v>43</v>
      </c>
      <c r="P102" t="s">
        <v>922</v>
      </c>
      <c r="Q102" t="s">
        <v>644</v>
      </c>
      <c r="R102">
        <v>37000</v>
      </c>
      <c r="S102">
        <v>13400</v>
      </c>
    </row>
    <row r="103" spans="1:19" x14ac:dyDescent="0.25">
      <c r="A103" t="s">
        <v>232</v>
      </c>
      <c r="B103" s="37">
        <v>45755</v>
      </c>
      <c r="C103" t="s">
        <v>32</v>
      </c>
      <c r="D103" t="s">
        <v>33</v>
      </c>
      <c r="E103" t="s">
        <v>45</v>
      </c>
      <c r="F103" t="s">
        <v>72</v>
      </c>
      <c r="G103" t="s">
        <v>47</v>
      </c>
      <c r="H103">
        <v>5</v>
      </c>
      <c r="I103">
        <v>46000</v>
      </c>
      <c r="J103">
        <v>39000</v>
      </c>
      <c r="K103">
        <v>0.05</v>
      </c>
      <c r="L103">
        <v>2</v>
      </c>
      <c r="M103" t="s">
        <v>233</v>
      </c>
      <c r="N103">
        <v>150000</v>
      </c>
      <c r="O103" t="s">
        <v>32</v>
      </c>
      <c r="P103" t="s">
        <v>855</v>
      </c>
      <c r="Q103" t="s">
        <v>644</v>
      </c>
      <c r="R103">
        <v>218500</v>
      </c>
      <c r="S103">
        <v>23500</v>
      </c>
    </row>
    <row r="104" spans="1:19" x14ac:dyDescent="0.25">
      <c r="A104" t="s">
        <v>471</v>
      </c>
      <c r="B104" s="37">
        <v>45922</v>
      </c>
      <c r="C104" t="s">
        <v>39</v>
      </c>
      <c r="D104" t="s">
        <v>40</v>
      </c>
      <c r="E104" t="s">
        <v>45</v>
      </c>
      <c r="F104" t="s">
        <v>46</v>
      </c>
      <c r="G104" t="s">
        <v>47</v>
      </c>
      <c r="H104">
        <v>10</v>
      </c>
      <c r="I104">
        <v>9800</v>
      </c>
      <c r="J104">
        <v>7600</v>
      </c>
      <c r="K104">
        <v>0</v>
      </c>
      <c r="L104">
        <v>10</v>
      </c>
      <c r="M104" t="s">
        <v>245</v>
      </c>
      <c r="N104">
        <v>150000</v>
      </c>
      <c r="O104" t="s">
        <v>39</v>
      </c>
      <c r="P104" t="s">
        <v>966</v>
      </c>
      <c r="Q104" t="s">
        <v>644</v>
      </c>
      <c r="R104">
        <v>98000</v>
      </c>
      <c r="S104">
        <v>22000</v>
      </c>
    </row>
    <row r="105" spans="1:19" x14ac:dyDescent="0.25">
      <c r="A105" t="s">
        <v>236</v>
      </c>
      <c r="B105" s="37">
        <v>45756</v>
      </c>
      <c r="C105" t="s">
        <v>39</v>
      </c>
      <c r="D105" t="s">
        <v>40</v>
      </c>
      <c r="E105" t="s">
        <v>56</v>
      </c>
      <c r="F105" t="s">
        <v>72</v>
      </c>
      <c r="G105" t="s">
        <v>47</v>
      </c>
      <c r="H105">
        <v>3</v>
      </c>
      <c r="I105">
        <v>46000</v>
      </c>
      <c r="J105">
        <v>39000</v>
      </c>
      <c r="K105">
        <v>0</v>
      </c>
      <c r="L105">
        <v>2</v>
      </c>
      <c r="M105" t="s">
        <v>237</v>
      </c>
      <c r="N105">
        <v>50000</v>
      </c>
      <c r="O105" t="s">
        <v>39</v>
      </c>
      <c r="P105" t="s">
        <v>1007</v>
      </c>
      <c r="Q105" t="s">
        <v>644</v>
      </c>
      <c r="R105">
        <v>138000</v>
      </c>
      <c r="S105">
        <v>21000</v>
      </c>
    </row>
    <row r="106" spans="1:19" x14ac:dyDescent="0.25">
      <c r="A106" t="s">
        <v>469</v>
      </c>
      <c r="B106" s="37">
        <v>45918</v>
      </c>
      <c r="C106" t="s">
        <v>39</v>
      </c>
      <c r="D106" t="s">
        <v>40</v>
      </c>
      <c r="E106" t="s">
        <v>75</v>
      </c>
      <c r="F106" t="s">
        <v>72</v>
      </c>
      <c r="G106" t="s">
        <v>47</v>
      </c>
      <c r="H106">
        <v>5</v>
      </c>
      <c r="I106">
        <v>46000</v>
      </c>
      <c r="J106">
        <v>39000</v>
      </c>
      <c r="K106">
        <v>0</v>
      </c>
      <c r="L106">
        <v>3</v>
      </c>
      <c r="M106" t="s">
        <v>237</v>
      </c>
      <c r="N106">
        <v>50000</v>
      </c>
      <c r="O106" t="s">
        <v>39</v>
      </c>
      <c r="P106" t="s">
        <v>1007</v>
      </c>
      <c r="Q106" t="s">
        <v>644</v>
      </c>
      <c r="R106">
        <v>230000</v>
      </c>
      <c r="S106">
        <v>35000</v>
      </c>
    </row>
    <row r="107" spans="1:19" x14ac:dyDescent="0.25">
      <c r="A107" t="s">
        <v>466</v>
      </c>
      <c r="B107" s="37">
        <v>45912</v>
      </c>
      <c r="C107" t="s">
        <v>43</v>
      </c>
      <c r="D107" t="s">
        <v>44</v>
      </c>
      <c r="E107" t="s">
        <v>45</v>
      </c>
      <c r="F107" t="s">
        <v>35</v>
      </c>
      <c r="G107" t="s">
        <v>36</v>
      </c>
      <c r="H107">
        <v>1</v>
      </c>
      <c r="I107">
        <v>18500</v>
      </c>
      <c r="J107">
        <v>11800</v>
      </c>
      <c r="K107">
        <v>0</v>
      </c>
      <c r="L107">
        <v>2</v>
      </c>
      <c r="M107" t="s">
        <v>418</v>
      </c>
      <c r="N107">
        <v>100000</v>
      </c>
      <c r="O107" t="s">
        <v>43</v>
      </c>
      <c r="P107" t="s">
        <v>1023</v>
      </c>
      <c r="Q107" t="s">
        <v>644</v>
      </c>
      <c r="R107">
        <v>18500</v>
      </c>
      <c r="S107">
        <v>6700</v>
      </c>
    </row>
    <row r="108" spans="1:19" x14ac:dyDescent="0.25">
      <c r="A108" t="s">
        <v>462</v>
      </c>
      <c r="B108" s="37">
        <v>45901</v>
      </c>
      <c r="C108" t="s">
        <v>32</v>
      </c>
      <c r="D108" t="s">
        <v>83</v>
      </c>
      <c r="E108" t="s">
        <v>56</v>
      </c>
      <c r="F108" t="s">
        <v>72</v>
      </c>
      <c r="G108" t="s">
        <v>47</v>
      </c>
      <c r="H108">
        <v>1</v>
      </c>
      <c r="I108">
        <v>46000</v>
      </c>
      <c r="J108">
        <v>39000</v>
      </c>
      <c r="K108">
        <v>0.05</v>
      </c>
      <c r="L108">
        <v>3</v>
      </c>
      <c r="M108" t="s">
        <v>131</v>
      </c>
      <c r="N108">
        <v>250000</v>
      </c>
      <c r="O108" t="s">
        <v>32</v>
      </c>
      <c r="P108" t="s">
        <v>809</v>
      </c>
      <c r="Q108" t="s">
        <v>644</v>
      </c>
      <c r="R108">
        <v>43700</v>
      </c>
      <c r="S108">
        <v>4700</v>
      </c>
    </row>
    <row r="109" spans="1:19" x14ac:dyDescent="0.25">
      <c r="A109" t="s">
        <v>243</v>
      </c>
      <c r="B109" s="37">
        <v>45759</v>
      </c>
      <c r="C109" t="s">
        <v>54</v>
      </c>
      <c r="D109" t="s">
        <v>55</v>
      </c>
      <c r="E109" t="s">
        <v>34</v>
      </c>
      <c r="F109" t="s">
        <v>199</v>
      </c>
      <c r="G109" t="s">
        <v>36</v>
      </c>
      <c r="H109">
        <v>4</v>
      </c>
      <c r="I109">
        <v>15500</v>
      </c>
      <c r="J109">
        <v>9900</v>
      </c>
      <c r="K109">
        <v>0</v>
      </c>
      <c r="L109">
        <v>1</v>
      </c>
      <c r="M109" t="s">
        <v>140</v>
      </c>
      <c r="N109">
        <v>250000</v>
      </c>
      <c r="O109" t="s">
        <v>54</v>
      </c>
      <c r="P109" t="s">
        <v>844</v>
      </c>
      <c r="Q109" t="s">
        <v>644</v>
      </c>
      <c r="R109">
        <v>62000</v>
      </c>
      <c r="S109">
        <v>22400</v>
      </c>
    </row>
    <row r="110" spans="1:19" x14ac:dyDescent="0.25">
      <c r="A110" t="s">
        <v>244</v>
      </c>
      <c r="B110" s="37">
        <v>45759</v>
      </c>
      <c r="C110" t="s">
        <v>39</v>
      </c>
      <c r="D110" t="s">
        <v>40</v>
      </c>
      <c r="E110" t="s">
        <v>56</v>
      </c>
      <c r="F110" t="s">
        <v>69</v>
      </c>
      <c r="G110" t="s">
        <v>66</v>
      </c>
      <c r="H110">
        <v>1</v>
      </c>
      <c r="I110">
        <v>32000</v>
      </c>
      <c r="J110">
        <v>21000</v>
      </c>
      <c r="K110">
        <v>0</v>
      </c>
      <c r="L110">
        <v>3</v>
      </c>
      <c r="M110" t="s">
        <v>245</v>
      </c>
      <c r="N110">
        <v>150000</v>
      </c>
      <c r="O110" t="s">
        <v>39</v>
      </c>
      <c r="P110" t="s">
        <v>966</v>
      </c>
      <c r="Q110" t="s">
        <v>644</v>
      </c>
      <c r="R110">
        <v>32000</v>
      </c>
      <c r="S110">
        <v>11000</v>
      </c>
    </row>
    <row r="111" spans="1:19" x14ac:dyDescent="0.25">
      <c r="A111" t="s">
        <v>246</v>
      </c>
      <c r="B111" s="37">
        <v>45760</v>
      </c>
      <c r="C111" t="s">
        <v>32</v>
      </c>
      <c r="D111" t="s">
        <v>33</v>
      </c>
      <c r="E111" t="s">
        <v>56</v>
      </c>
      <c r="F111" t="s">
        <v>199</v>
      </c>
      <c r="G111" t="s">
        <v>36</v>
      </c>
      <c r="H111">
        <v>3</v>
      </c>
      <c r="I111">
        <v>15500</v>
      </c>
      <c r="J111">
        <v>9900</v>
      </c>
      <c r="K111">
        <v>0</v>
      </c>
      <c r="L111">
        <v>4</v>
      </c>
      <c r="M111" t="s">
        <v>229</v>
      </c>
      <c r="N111">
        <v>500000</v>
      </c>
      <c r="O111" t="s">
        <v>32</v>
      </c>
      <c r="P111" t="s">
        <v>943</v>
      </c>
      <c r="Q111" t="s">
        <v>644</v>
      </c>
      <c r="R111">
        <v>46500</v>
      </c>
      <c r="S111">
        <v>16800</v>
      </c>
    </row>
    <row r="112" spans="1:19" x14ac:dyDescent="0.25">
      <c r="A112" t="s">
        <v>247</v>
      </c>
      <c r="B112" s="37">
        <v>45761</v>
      </c>
      <c r="C112" t="s">
        <v>32</v>
      </c>
      <c r="D112" t="s">
        <v>83</v>
      </c>
      <c r="E112" t="s">
        <v>45</v>
      </c>
      <c r="F112" t="s">
        <v>35</v>
      </c>
      <c r="G112" t="s">
        <v>36</v>
      </c>
      <c r="H112">
        <v>5</v>
      </c>
      <c r="I112">
        <v>18500</v>
      </c>
      <c r="J112">
        <v>11800</v>
      </c>
      <c r="K112">
        <v>0</v>
      </c>
      <c r="L112">
        <v>5</v>
      </c>
      <c r="M112" t="s">
        <v>248</v>
      </c>
      <c r="N112">
        <v>500000</v>
      </c>
      <c r="O112" t="s">
        <v>32</v>
      </c>
      <c r="P112" t="s">
        <v>799</v>
      </c>
      <c r="Q112" t="s">
        <v>644</v>
      </c>
      <c r="R112">
        <v>92500</v>
      </c>
      <c r="S112">
        <v>33500</v>
      </c>
    </row>
    <row r="113" spans="1:19" x14ac:dyDescent="0.25">
      <c r="A113" t="s">
        <v>249</v>
      </c>
      <c r="B113" s="37">
        <v>45761</v>
      </c>
      <c r="C113" t="s">
        <v>32</v>
      </c>
      <c r="D113" t="s">
        <v>83</v>
      </c>
      <c r="E113" t="s">
        <v>56</v>
      </c>
      <c r="F113" t="s">
        <v>101</v>
      </c>
      <c r="G113" t="s">
        <v>61</v>
      </c>
      <c r="H113">
        <v>2</v>
      </c>
      <c r="I113">
        <v>28000</v>
      </c>
      <c r="J113">
        <v>18500</v>
      </c>
      <c r="K113">
        <v>0</v>
      </c>
      <c r="L113">
        <v>4</v>
      </c>
      <c r="M113" t="s">
        <v>79</v>
      </c>
      <c r="N113">
        <v>500000</v>
      </c>
      <c r="O113" t="s">
        <v>32</v>
      </c>
      <c r="P113" t="s">
        <v>1102</v>
      </c>
      <c r="Q113" t="s">
        <v>644</v>
      </c>
      <c r="R113">
        <v>56000</v>
      </c>
      <c r="S113">
        <v>19000</v>
      </c>
    </row>
    <row r="114" spans="1:19" x14ac:dyDescent="0.25">
      <c r="A114" t="s">
        <v>250</v>
      </c>
      <c r="B114" s="37">
        <v>45764</v>
      </c>
      <c r="C114" t="s">
        <v>32</v>
      </c>
      <c r="D114" t="s">
        <v>33</v>
      </c>
      <c r="E114" t="s">
        <v>75</v>
      </c>
      <c r="F114" t="s">
        <v>46</v>
      </c>
      <c r="G114" t="s">
        <v>47</v>
      </c>
      <c r="H114">
        <v>1</v>
      </c>
      <c r="I114">
        <v>9800</v>
      </c>
      <c r="J114">
        <v>7600</v>
      </c>
      <c r="K114">
        <v>0</v>
      </c>
      <c r="L114">
        <v>3</v>
      </c>
      <c r="M114" t="s">
        <v>251</v>
      </c>
      <c r="N114">
        <v>250000</v>
      </c>
      <c r="O114" t="s">
        <v>32</v>
      </c>
      <c r="P114" t="s">
        <v>1048</v>
      </c>
      <c r="Q114" t="s">
        <v>644</v>
      </c>
      <c r="R114">
        <v>9800</v>
      </c>
      <c r="S114">
        <v>2200</v>
      </c>
    </row>
    <row r="115" spans="1:19" x14ac:dyDescent="0.25">
      <c r="A115" t="s">
        <v>461</v>
      </c>
      <c r="B115" s="37">
        <v>45900</v>
      </c>
      <c r="C115" t="s">
        <v>32</v>
      </c>
      <c r="D115" t="s">
        <v>33</v>
      </c>
      <c r="E115" t="s">
        <v>45</v>
      </c>
      <c r="F115" t="s">
        <v>88</v>
      </c>
      <c r="G115" t="s">
        <v>89</v>
      </c>
      <c r="H115">
        <v>3</v>
      </c>
      <c r="I115">
        <v>6800</v>
      </c>
      <c r="J115">
        <v>3900</v>
      </c>
      <c r="K115">
        <v>0.05</v>
      </c>
      <c r="L115">
        <v>5</v>
      </c>
      <c r="M115" t="s">
        <v>229</v>
      </c>
      <c r="N115">
        <v>500000</v>
      </c>
      <c r="O115" t="s">
        <v>32</v>
      </c>
      <c r="P115" t="s">
        <v>943</v>
      </c>
      <c r="Q115" t="s">
        <v>644</v>
      </c>
      <c r="R115">
        <v>19380</v>
      </c>
      <c r="S115">
        <v>7680</v>
      </c>
    </row>
    <row r="116" spans="1:19" x14ac:dyDescent="0.25">
      <c r="A116" t="s">
        <v>459</v>
      </c>
      <c r="B116" s="37">
        <v>45900</v>
      </c>
      <c r="C116" t="s">
        <v>32</v>
      </c>
      <c r="D116" t="s">
        <v>83</v>
      </c>
      <c r="E116" t="s">
        <v>56</v>
      </c>
      <c r="F116" t="s">
        <v>199</v>
      </c>
      <c r="G116" t="s">
        <v>36</v>
      </c>
      <c r="H116">
        <v>3</v>
      </c>
      <c r="I116">
        <v>15500</v>
      </c>
      <c r="J116">
        <v>9900</v>
      </c>
      <c r="K116">
        <v>0</v>
      </c>
      <c r="L116">
        <v>4</v>
      </c>
      <c r="M116" t="s">
        <v>278</v>
      </c>
      <c r="N116">
        <v>150000</v>
      </c>
      <c r="O116" t="s">
        <v>32</v>
      </c>
      <c r="P116" t="s">
        <v>935</v>
      </c>
      <c r="Q116" t="s">
        <v>644</v>
      </c>
      <c r="R116">
        <v>46500</v>
      </c>
      <c r="S116">
        <v>16800</v>
      </c>
    </row>
    <row r="117" spans="1:19" x14ac:dyDescent="0.25">
      <c r="A117" t="s">
        <v>455</v>
      </c>
      <c r="B117" s="37">
        <v>45899</v>
      </c>
      <c r="C117" t="s">
        <v>63</v>
      </c>
      <c r="D117" t="s">
        <v>64</v>
      </c>
      <c r="E117" t="s">
        <v>45</v>
      </c>
      <c r="F117" t="s">
        <v>69</v>
      </c>
      <c r="G117" t="s">
        <v>66</v>
      </c>
      <c r="H117">
        <v>2</v>
      </c>
      <c r="I117">
        <v>32000</v>
      </c>
      <c r="J117">
        <v>21000</v>
      </c>
      <c r="K117">
        <v>0</v>
      </c>
      <c r="L117">
        <v>7</v>
      </c>
      <c r="M117" t="s">
        <v>364</v>
      </c>
      <c r="N117">
        <v>50000</v>
      </c>
      <c r="O117" t="s">
        <v>63</v>
      </c>
      <c r="P117" t="s">
        <v>826</v>
      </c>
      <c r="Q117" t="s">
        <v>644</v>
      </c>
      <c r="R117">
        <v>64000</v>
      </c>
      <c r="S117">
        <v>22000</v>
      </c>
    </row>
    <row r="118" spans="1:19" x14ac:dyDescent="0.25">
      <c r="A118" t="s">
        <v>257</v>
      </c>
      <c r="B118" s="37">
        <v>45765</v>
      </c>
      <c r="C118" t="s">
        <v>43</v>
      </c>
      <c r="D118" t="s">
        <v>44</v>
      </c>
      <c r="E118" t="s">
        <v>75</v>
      </c>
      <c r="F118" t="s">
        <v>35</v>
      </c>
      <c r="G118" t="s">
        <v>36</v>
      </c>
      <c r="H118">
        <v>5</v>
      </c>
      <c r="I118">
        <v>18500</v>
      </c>
      <c r="J118">
        <v>11800</v>
      </c>
      <c r="K118">
        <v>0</v>
      </c>
      <c r="L118">
        <v>7</v>
      </c>
      <c r="M118" t="s">
        <v>52</v>
      </c>
      <c r="N118">
        <v>500000</v>
      </c>
      <c r="O118" t="s">
        <v>43</v>
      </c>
      <c r="P118" t="s">
        <v>922</v>
      </c>
      <c r="Q118" t="s">
        <v>644</v>
      </c>
      <c r="R118">
        <v>92500</v>
      </c>
      <c r="S118">
        <v>33500</v>
      </c>
    </row>
    <row r="119" spans="1:19" x14ac:dyDescent="0.25">
      <c r="A119" t="s">
        <v>258</v>
      </c>
      <c r="B119" s="37">
        <v>45766</v>
      </c>
      <c r="C119" t="s">
        <v>32</v>
      </c>
      <c r="D119" t="s">
        <v>33</v>
      </c>
      <c r="E119" t="s">
        <v>75</v>
      </c>
      <c r="F119" t="s">
        <v>88</v>
      </c>
      <c r="G119" t="s">
        <v>89</v>
      </c>
      <c r="H119">
        <v>1</v>
      </c>
      <c r="I119">
        <v>6800</v>
      </c>
      <c r="J119">
        <v>3900</v>
      </c>
      <c r="K119">
        <v>0</v>
      </c>
      <c r="L119">
        <v>7</v>
      </c>
      <c r="M119" t="s">
        <v>233</v>
      </c>
      <c r="N119">
        <v>150000</v>
      </c>
      <c r="O119" t="s">
        <v>32</v>
      </c>
      <c r="P119" t="s">
        <v>855</v>
      </c>
      <c r="Q119" t="s">
        <v>644</v>
      </c>
      <c r="R119">
        <v>6800</v>
      </c>
      <c r="S119">
        <v>2900</v>
      </c>
    </row>
    <row r="120" spans="1:19" x14ac:dyDescent="0.25">
      <c r="A120" t="s">
        <v>259</v>
      </c>
      <c r="B120" s="37">
        <v>45768</v>
      </c>
      <c r="C120" t="s">
        <v>43</v>
      </c>
      <c r="D120" t="s">
        <v>44</v>
      </c>
      <c r="E120" t="s">
        <v>75</v>
      </c>
      <c r="F120" t="s">
        <v>46</v>
      </c>
      <c r="G120" t="s">
        <v>47</v>
      </c>
      <c r="H120">
        <v>10</v>
      </c>
      <c r="I120">
        <v>9800</v>
      </c>
      <c r="J120">
        <v>7600</v>
      </c>
      <c r="K120">
        <v>0</v>
      </c>
      <c r="L120">
        <v>1</v>
      </c>
      <c r="M120" t="s">
        <v>260</v>
      </c>
      <c r="N120">
        <v>500000</v>
      </c>
      <c r="O120" t="s">
        <v>43</v>
      </c>
      <c r="P120" t="s">
        <v>1081</v>
      </c>
      <c r="Q120" t="s">
        <v>644</v>
      </c>
      <c r="R120">
        <v>98000</v>
      </c>
      <c r="S120">
        <v>22000</v>
      </c>
    </row>
    <row r="121" spans="1:19" x14ac:dyDescent="0.25">
      <c r="A121" t="s">
        <v>261</v>
      </c>
      <c r="B121" s="37">
        <v>45768</v>
      </c>
      <c r="C121" t="s">
        <v>32</v>
      </c>
      <c r="D121" t="s">
        <v>33</v>
      </c>
      <c r="E121" t="s">
        <v>75</v>
      </c>
      <c r="F121" t="s">
        <v>50</v>
      </c>
      <c r="G121" t="s">
        <v>51</v>
      </c>
      <c r="H121">
        <v>8</v>
      </c>
      <c r="I121">
        <v>41000</v>
      </c>
      <c r="J121">
        <v>25000</v>
      </c>
      <c r="K121">
        <v>0</v>
      </c>
      <c r="L121">
        <v>2</v>
      </c>
      <c r="M121" t="s">
        <v>97</v>
      </c>
      <c r="N121">
        <v>150000</v>
      </c>
      <c r="O121" t="s">
        <v>32</v>
      </c>
      <c r="P121" t="s">
        <v>1056</v>
      </c>
      <c r="Q121" t="s">
        <v>644</v>
      </c>
      <c r="R121">
        <v>328000</v>
      </c>
      <c r="S121">
        <v>128000</v>
      </c>
    </row>
    <row r="122" spans="1:19" x14ac:dyDescent="0.25">
      <c r="A122" t="s">
        <v>262</v>
      </c>
      <c r="B122" s="37">
        <v>45768</v>
      </c>
      <c r="C122" t="s">
        <v>63</v>
      </c>
      <c r="D122" t="s">
        <v>64</v>
      </c>
      <c r="E122" t="s">
        <v>75</v>
      </c>
      <c r="F122" t="s">
        <v>35</v>
      </c>
      <c r="G122" t="s">
        <v>36</v>
      </c>
      <c r="H122">
        <v>8</v>
      </c>
      <c r="I122">
        <v>18500</v>
      </c>
      <c r="J122">
        <v>11800</v>
      </c>
      <c r="K122">
        <v>0</v>
      </c>
      <c r="L122">
        <v>2</v>
      </c>
      <c r="M122" t="s">
        <v>263</v>
      </c>
      <c r="N122">
        <v>100000</v>
      </c>
      <c r="O122" t="s">
        <v>63</v>
      </c>
      <c r="P122" t="s">
        <v>930</v>
      </c>
      <c r="Q122" t="s">
        <v>644</v>
      </c>
      <c r="R122">
        <v>148000</v>
      </c>
      <c r="S122">
        <v>53600</v>
      </c>
    </row>
    <row r="123" spans="1:19" x14ac:dyDescent="0.25">
      <c r="A123" t="s">
        <v>453</v>
      </c>
      <c r="B123" s="37">
        <v>45897</v>
      </c>
      <c r="C123" t="s">
        <v>39</v>
      </c>
      <c r="D123" t="s">
        <v>40</v>
      </c>
      <c r="E123" t="s">
        <v>56</v>
      </c>
      <c r="F123" t="s">
        <v>65</v>
      </c>
      <c r="G123" t="s">
        <v>66</v>
      </c>
      <c r="H123">
        <v>1</v>
      </c>
      <c r="I123">
        <v>24000</v>
      </c>
      <c r="J123">
        <v>14500</v>
      </c>
      <c r="K123">
        <v>0</v>
      </c>
      <c r="L123">
        <v>1</v>
      </c>
      <c r="M123" t="s">
        <v>310</v>
      </c>
      <c r="N123">
        <v>100000</v>
      </c>
      <c r="O123" t="s">
        <v>39</v>
      </c>
      <c r="P123" t="s">
        <v>781</v>
      </c>
      <c r="Q123" t="s">
        <v>644</v>
      </c>
      <c r="R123">
        <v>24000</v>
      </c>
      <c r="S123">
        <v>9500</v>
      </c>
    </row>
    <row r="124" spans="1:19" x14ac:dyDescent="0.25">
      <c r="A124" t="s">
        <v>266</v>
      </c>
      <c r="B124" s="37">
        <v>45770</v>
      </c>
      <c r="C124" t="s">
        <v>39</v>
      </c>
      <c r="D124" t="s">
        <v>40</v>
      </c>
      <c r="E124" t="s">
        <v>45</v>
      </c>
      <c r="F124" t="s">
        <v>72</v>
      </c>
      <c r="G124" t="s">
        <v>47</v>
      </c>
      <c r="H124">
        <v>8</v>
      </c>
      <c r="I124">
        <v>46000</v>
      </c>
      <c r="J124">
        <v>39000</v>
      </c>
      <c r="K124">
        <v>0</v>
      </c>
      <c r="L124">
        <v>2</v>
      </c>
      <c r="M124" t="s">
        <v>237</v>
      </c>
      <c r="N124">
        <v>50000</v>
      </c>
      <c r="O124" t="s">
        <v>39</v>
      </c>
      <c r="P124" t="s">
        <v>1007</v>
      </c>
      <c r="Q124" t="s">
        <v>644</v>
      </c>
      <c r="R124">
        <v>368000</v>
      </c>
      <c r="S124">
        <v>56000</v>
      </c>
    </row>
    <row r="125" spans="1:19" x14ac:dyDescent="0.25">
      <c r="A125" t="s">
        <v>267</v>
      </c>
      <c r="B125" s="37">
        <v>45770</v>
      </c>
      <c r="C125" t="s">
        <v>63</v>
      </c>
      <c r="D125" t="s">
        <v>64</v>
      </c>
      <c r="E125" t="s">
        <v>45</v>
      </c>
      <c r="F125" t="s">
        <v>101</v>
      </c>
      <c r="G125" t="s">
        <v>61</v>
      </c>
      <c r="H125">
        <v>3</v>
      </c>
      <c r="I125">
        <v>28000</v>
      </c>
      <c r="J125">
        <v>18500</v>
      </c>
      <c r="K125">
        <v>0</v>
      </c>
      <c r="L125">
        <v>1</v>
      </c>
      <c r="M125" t="s">
        <v>208</v>
      </c>
      <c r="N125">
        <v>50000</v>
      </c>
      <c r="O125" t="s">
        <v>63</v>
      </c>
      <c r="P125" t="s">
        <v>718</v>
      </c>
      <c r="Q125" t="s">
        <v>644</v>
      </c>
      <c r="R125">
        <v>84000</v>
      </c>
      <c r="S125">
        <v>28500</v>
      </c>
    </row>
    <row r="126" spans="1:19" x14ac:dyDescent="0.25">
      <c r="A126" t="s">
        <v>452</v>
      </c>
      <c r="B126" s="37">
        <v>45894</v>
      </c>
      <c r="C126" t="s">
        <v>54</v>
      </c>
      <c r="D126" t="s">
        <v>55</v>
      </c>
      <c r="E126" t="s">
        <v>75</v>
      </c>
      <c r="F126" t="s">
        <v>57</v>
      </c>
      <c r="G126" t="s">
        <v>51</v>
      </c>
      <c r="H126">
        <v>2</v>
      </c>
      <c r="I126">
        <v>27500</v>
      </c>
      <c r="J126">
        <v>16500</v>
      </c>
      <c r="K126">
        <v>0.1</v>
      </c>
      <c r="L126">
        <v>3</v>
      </c>
      <c r="M126" t="s">
        <v>133</v>
      </c>
      <c r="N126">
        <v>100000</v>
      </c>
      <c r="O126" t="s">
        <v>54</v>
      </c>
      <c r="P126" t="s">
        <v>1077</v>
      </c>
      <c r="Q126" t="s">
        <v>644</v>
      </c>
      <c r="R126">
        <v>49500</v>
      </c>
      <c r="S126">
        <v>16500</v>
      </c>
    </row>
    <row r="127" spans="1:19" x14ac:dyDescent="0.25">
      <c r="A127" t="s">
        <v>448</v>
      </c>
      <c r="B127" s="37">
        <v>45892</v>
      </c>
      <c r="C127" t="s">
        <v>32</v>
      </c>
      <c r="D127" t="s">
        <v>33</v>
      </c>
      <c r="E127" t="s">
        <v>45</v>
      </c>
      <c r="F127" t="s">
        <v>46</v>
      </c>
      <c r="G127" t="s">
        <v>47</v>
      </c>
      <c r="H127">
        <v>1</v>
      </c>
      <c r="I127">
        <v>9800</v>
      </c>
      <c r="J127">
        <v>7600</v>
      </c>
      <c r="K127">
        <v>0</v>
      </c>
      <c r="L127">
        <v>3</v>
      </c>
      <c r="M127" t="s">
        <v>278</v>
      </c>
      <c r="N127">
        <v>150000</v>
      </c>
      <c r="O127" t="s">
        <v>32</v>
      </c>
      <c r="P127" t="s">
        <v>935</v>
      </c>
      <c r="Q127" t="s">
        <v>644</v>
      </c>
      <c r="R127">
        <v>9800</v>
      </c>
      <c r="S127">
        <v>2200</v>
      </c>
    </row>
    <row r="128" spans="1:19" x14ac:dyDescent="0.25">
      <c r="A128" t="s">
        <v>270</v>
      </c>
      <c r="B128" s="37">
        <v>45771</v>
      </c>
      <c r="C128" t="s">
        <v>39</v>
      </c>
      <c r="D128" t="s">
        <v>40</v>
      </c>
      <c r="E128" t="s">
        <v>56</v>
      </c>
      <c r="F128" t="s">
        <v>199</v>
      </c>
      <c r="G128" t="s">
        <v>36</v>
      </c>
      <c r="H128">
        <v>3</v>
      </c>
      <c r="I128">
        <v>15500</v>
      </c>
      <c r="J128">
        <v>9900</v>
      </c>
      <c r="K128">
        <v>0</v>
      </c>
      <c r="L128">
        <v>2</v>
      </c>
      <c r="M128" t="s">
        <v>245</v>
      </c>
      <c r="N128">
        <v>150000</v>
      </c>
      <c r="O128" t="s">
        <v>39</v>
      </c>
      <c r="P128" t="s">
        <v>966</v>
      </c>
      <c r="Q128" t="s">
        <v>644</v>
      </c>
      <c r="R128">
        <v>46500</v>
      </c>
      <c r="S128">
        <v>16800</v>
      </c>
    </row>
    <row r="129" spans="1:19" x14ac:dyDescent="0.25">
      <c r="A129" t="s">
        <v>271</v>
      </c>
      <c r="B129" s="37">
        <v>45776</v>
      </c>
      <c r="C129" t="s">
        <v>32</v>
      </c>
      <c r="D129" t="s">
        <v>83</v>
      </c>
      <c r="E129" t="s">
        <v>34</v>
      </c>
      <c r="F129" t="s">
        <v>101</v>
      </c>
      <c r="G129" t="s">
        <v>61</v>
      </c>
      <c r="H129">
        <v>3</v>
      </c>
      <c r="I129">
        <v>28000</v>
      </c>
      <c r="J129">
        <v>18500</v>
      </c>
      <c r="K129">
        <v>0.05</v>
      </c>
      <c r="L129">
        <v>7</v>
      </c>
      <c r="M129" t="s">
        <v>272</v>
      </c>
      <c r="N129">
        <v>50000</v>
      </c>
      <c r="O129" t="s">
        <v>32</v>
      </c>
      <c r="P129" t="s">
        <v>1119</v>
      </c>
      <c r="Q129" t="s">
        <v>644</v>
      </c>
      <c r="R129">
        <v>79800</v>
      </c>
      <c r="S129">
        <v>24300</v>
      </c>
    </row>
    <row r="130" spans="1:19" x14ac:dyDescent="0.25">
      <c r="A130" t="s">
        <v>444</v>
      </c>
      <c r="B130" s="37">
        <v>45890</v>
      </c>
      <c r="C130" t="s">
        <v>43</v>
      </c>
      <c r="D130" t="s">
        <v>44</v>
      </c>
      <c r="E130" t="s">
        <v>75</v>
      </c>
      <c r="F130" t="s">
        <v>78</v>
      </c>
      <c r="G130" t="s">
        <v>36</v>
      </c>
      <c r="H130">
        <v>1</v>
      </c>
      <c r="I130">
        <v>22000</v>
      </c>
      <c r="J130">
        <v>13800</v>
      </c>
      <c r="K130">
        <v>0.05</v>
      </c>
      <c r="L130">
        <v>1</v>
      </c>
      <c r="M130" t="s">
        <v>260</v>
      </c>
      <c r="N130">
        <v>500000</v>
      </c>
      <c r="O130" t="s">
        <v>43</v>
      </c>
      <c r="P130" t="s">
        <v>1081</v>
      </c>
      <c r="Q130" t="s">
        <v>644</v>
      </c>
      <c r="R130">
        <v>20900</v>
      </c>
      <c r="S130">
        <v>7100</v>
      </c>
    </row>
    <row r="131" spans="1:19" x14ac:dyDescent="0.25">
      <c r="A131" t="s">
        <v>274</v>
      </c>
      <c r="B131" s="37">
        <v>45779</v>
      </c>
      <c r="C131" t="s">
        <v>32</v>
      </c>
      <c r="D131" t="s">
        <v>83</v>
      </c>
      <c r="E131" t="s">
        <v>34</v>
      </c>
      <c r="F131" t="s">
        <v>72</v>
      </c>
      <c r="G131" t="s">
        <v>47</v>
      </c>
      <c r="H131">
        <v>2</v>
      </c>
      <c r="I131">
        <v>46000</v>
      </c>
      <c r="J131">
        <v>39000</v>
      </c>
      <c r="K131">
        <v>0</v>
      </c>
      <c r="L131">
        <v>2</v>
      </c>
      <c r="M131" t="s">
        <v>275</v>
      </c>
      <c r="N131">
        <v>50000</v>
      </c>
      <c r="O131" t="s">
        <v>32</v>
      </c>
      <c r="P131" t="s">
        <v>978</v>
      </c>
      <c r="Q131" t="s">
        <v>644</v>
      </c>
      <c r="R131">
        <v>92000</v>
      </c>
      <c r="S131">
        <v>14000</v>
      </c>
    </row>
    <row r="132" spans="1:19" x14ac:dyDescent="0.25">
      <c r="A132" t="s">
        <v>442</v>
      </c>
      <c r="B132" s="37">
        <v>45889</v>
      </c>
      <c r="C132" t="s">
        <v>43</v>
      </c>
      <c r="D132" t="s">
        <v>44</v>
      </c>
      <c r="E132" t="s">
        <v>75</v>
      </c>
      <c r="F132" t="s">
        <v>199</v>
      </c>
      <c r="G132" t="s">
        <v>36</v>
      </c>
      <c r="H132">
        <v>2</v>
      </c>
      <c r="I132">
        <v>15500</v>
      </c>
      <c r="J132">
        <v>9900</v>
      </c>
      <c r="K132">
        <v>0</v>
      </c>
      <c r="L132">
        <v>7</v>
      </c>
      <c r="M132" t="s">
        <v>104</v>
      </c>
      <c r="N132">
        <v>50000</v>
      </c>
      <c r="O132" t="s">
        <v>43</v>
      </c>
      <c r="P132" t="s">
        <v>891</v>
      </c>
      <c r="Q132" t="s">
        <v>644</v>
      </c>
      <c r="R132">
        <v>31000</v>
      </c>
      <c r="S132">
        <v>11200</v>
      </c>
    </row>
    <row r="133" spans="1:19" x14ac:dyDescent="0.25">
      <c r="A133" t="s">
        <v>277</v>
      </c>
      <c r="B133" s="37">
        <v>45781</v>
      </c>
      <c r="C133" t="s">
        <v>32</v>
      </c>
      <c r="D133" t="s">
        <v>83</v>
      </c>
      <c r="E133" t="s">
        <v>34</v>
      </c>
      <c r="F133" t="s">
        <v>101</v>
      </c>
      <c r="G133" t="s">
        <v>61</v>
      </c>
      <c r="H133">
        <v>10</v>
      </c>
      <c r="I133">
        <v>28000</v>
      </c>
      <c r="J133">
        <v>18500</v>
      </c>
      <c r="K133">
        <v>0</v>
      </c>
      <c r="L133">
        <v>5</v>
      </c>
      <c r="M133" t="s">
        <v>278</v>
      </c>
      <c r="N133">
        <v>150000</v>
      </c>
      <c r="O133" t="s">
        <v>32</v>
      </c>
      <c r="P133" t="s">
        <v>935</v>
      </c>
      <c r="Q133" t="s">
        <v>644</v>
      </c>
      <c r="R133">
        <v>280000</v>
      </c>
      <c r="S133">
        <v>95000</v>
      </c>
    </row>
    <row r="134" spans="1:19" x14ac:dyDescent="0.25">
      <c r="A134" t="s">
        <v>279</v>
      </c>
      <c r="B134" s="37">
        <v>45781</v>
      </c>
      <c r="C134" t="s">
        <v>43</v>
      </c>
      <c r="D134" t="s">
        <v>44</v>
      </c>
      <c r="E134" t="s">
        <v>45</v>
      </c>
      <c r="F134" t="s">
        <v>72</v>
      </c>
      <c r="G134" t="s">
        <v>47</v>
      </c>
      <c r="H134">
        <v>10</v>
      </c>
      <c r="I134">
        <v>46000</v>
      </c>
      <c r="J134">
        <v>39000</v>
      </c>
      <c r="K134">
        <v>0</v>
      </c>
      <c r="L134">
        <v>7</v>
      </c>
      <c r="M134" t="s">
        <v>280</v>
      </c>
      <c r="N134">
        <v>150000</v>
      </c>
      <c r="O134" t="s">
        <v>43</v>
      </c>
      <c r="P134" t="s">
        <v>1153</v>
      </c>
      <c r="Q134" t="s">
        <v>644</v>
      </c>
      <c r="R134">
        <v>460000</v>
      </c>
      <c r="S134">
        <v>70000</v>
      </c>
    </row>
    <row r="135" spans="1:19" x14ac:dyDescent="0.25">
      <c r="A135" t="s">
        <v>281</v>
      </c>
      <c r="B135" s="37">
        <v>45781</v>
      </c>
      <c r="C135" t="s">
        <v>32</v>
      </c>
      <c r="D135" t="s">
        <v>33</v>
      </c>
      <c r="E135" t="s">
        <v>45</v>
      </c>
      <c r="F135" t="s">
        <v>88</v>
      </c>
      <c r="G135" t="s">
        <v>89</v>
      </c>
      <c r="H135">
        <v>10</v>
      </c>
      <c r="I135">
        <v>6800</v>
      </c>
      <c r="J135">
        <v>3900</v>
      </c>
      <c r="K135">
        <v>0</v>
      </c>
      <c r="L135">
        <v>3</v>
      </c>
      <c r="M135" t="s">
        <v>282</v>
      </c>
      <c r="N135">
        <v>250000</v>
      </c>
      <c r="O135" t="s">
        <v>32</v>
      </c>
      <c r="P135" t="s">
        <v>1027</v>
      </c>
      <c r="Q135" t="s">
        <v>644</v>
      </c>
      <c r="R135">
        <v>68000</v>
      </c>
      <c r="S135">
        <v>29000</v>
      </c>
    </row>
    <row r="136" spans="1:19" x14ac:dyDescent="0.25">
      <c r="A136" t="s">
        <v>283</v>
      </c>
      <c r="B136" s="37">
        <v>45781</v>
      </c>
      <c r="C136" t="s">
        <v>32</v>
      </c>
      <c r="D136" t="s">
        <v>33</v>
      </c>
      <c r="E136" t="s">
        <v>34</v>
      </c>
      <c r="F136" t="s">
        <v>35</v>
      </c>
      <c r="G136" t="s">
        <v>36</v>
      </c>
      <c r="H136">
        <v>5</v>
      </c>
      <c r="I136">
        <v>18500</v>
      </c>
      <c r="J136">
        <v>11800</v>
      </c>
      <c r="K136">
        <v>0.1</v>
      </c>
      <c r="L136">
        <v>3</v>
      </c>
      <c r="M136" t="s">
        <v>73</v>
      </c>
      <c r="N136">
        <v>250000</v>
      </c>
      <c r="O136" t="s">
        <v>32</v>
      </c>
      <c r="P136" t="s">
        <v>723</v>
      </c>
      <c r="Q136" t="s">
        <v>644</v>
      </c>
      <c r="R136">
        <v>83250</v>
      </c>
      <c r="S136">
        <v>24250</v>
      </c>
    </row>
    <row r="137" spans="1:19" x14ac:dyDescent="0.25">
      <c r="A137" t="s">
        <v>440</v>
      </c>
      <c r="B137" s="37">
        <v>45888</v>
      </c>
      <c r="C137" t="s">
        <v>32</v>
      </c>
      <c r="D137" t="s">
        <v>33</v>
      </c>
      <c r="E137" t="s">
        <v>75</v>
      </c>
      <c r="F137" t="s">
        <v>101</v>
      </c>
      <c r="G137" t="s">
        <v>61</v>
      </c>
      <c r="H137">
        <v>1</v>
      </c>
      <c r="I137">
        <v>28000</v>
      </c>
      <c r="J137">
        <v>18500</v>
      </c>
      <c r="K137">
        <v>0.1</v>
      </c>
      <c r="L137">
        <v>7</v>
      </c>
      <c r="M137" t="s">
        <v>121</v>
      </c>
      <c r="N137">
        <v>50000</v>
      </c>
      <c r="O137" t="s">
        <v>32</v>
      </c>
      <c r="P137" t="s">
        <v>935</v>
      </c>
      <c r="Q137" t="s">
        <v>644</v>
      </c>
      <c r="R137">
        <v>25200</v>
      </c>
      <c r="S137">
        <v>6700</v>
      </c>
    </row>
    <row r="138" spans="1:19" x14ac:dyDescent="0.25">
      <c r="A138" t="s">
        <v>285</v>
      </c>
      <c r="B138" s="37">
        <v>45782</v>
      </c>
      <c r="C138" t="s">
        <v>43</v>
      </c>
      <c r="D138" t="s">
        <v>44</v>
      </c>
      <c r="E138" t="s">
        <v>34</v>
      </c>
      <c r="F138" t="s">
        <v>78</v>
      </c>
      <c r="G138" t="s">
        <v>36</v>
      </c>
      <c r="H138">
        <v>1</v>
      </c>
      <c r="I138">
        <v>22000</v>
      </c>
      <c r="J138">
        <v>13800</v>
      </c>
      <c r="K138">
        <v>0</v>
      </c>
      <c r="L138">
        <v>3</v>
      </c>
      <c r="M138" t="s">
        <v>52</v>
      </c>
      <c r="N138">
        <v>500000</v>
      </c>
      <c r="O138" t="s">
        <v>43</v>
      </c>
      <c r="P138" t="s">
        <v>922</v>
      </c>
      <c r="Q138" t="s">
        <v>644</v>
      </c>
      <c r="R138">
        <v>22000</v>
      </c>
      <c r="S138">
        <v>8200</v>
      </c>
    </row>
    <row r="139" spans="1:19" x14ac:dyDescent="0.25">
      <c r="A139" t="s">
        <v>286</v>
      </c>
      <c r="B139" s="37">
        <v>45783</v>
      </c>
      <c r="C139" t="s">
        <v>54</v>
      </c>
      <c r="D139" t="s">
        <v>55</v>
      </c>
      <c r="E139" t="s">
        <v>34</v>
      </c>
      <c r="F139" t="s">
        <v>78</v>
      </c>
      <c r="G139" t="s">
        <v>36</v>
      </c>
      <c r="H139">
        <v>3</v>
      </c>
      <c r="I139">
        <v>22000</v>
      </c>
      <c r="J139">
        <v>13800</v>
      </c>
      <c r="K139">
        <v>0.1</v>
      </c>
      <c r="L139">
        <v>5</v>
      </c>
      <c r="M139" t="s">
        <v>58</v>
      </c>
      <c r="N139">
        <v>50000</v>
      </c>
      <c r="O139" t="s">
        <v>54</v>
      </c>
      <c r="P139" t="s">
        <v>986</v>
      </c>
      <c r="Q139" t="s">
        <v>644</v>
      </c>
      <c r="R139">
        <v>59400</v>
      </c>
      <c r="S139">
        <v>18000</v>
      </c>
    </row>
    <row r="140" spans="1:19" x14ac:dyDescent="0.25">
      <c r="A140" t="s">
        <v>439</v>
      </c>
      <c r="B140" s="37">
        <v>45888</v>
      </c>
      <c r="C140" t="s">
        <v>32</v>
      </c>
      <c r="D140" t="s">
        <v>33</v>
      </c>
      <c r="E140" t="s">
        <v>34</v>
      </c>
      <c r="F140" t="s">
        <v>72</v>
      </c>
      <c r="G140" t="s">
        <v>47</v>
      </c>
      <c r="H140">
        <v>1</v>
      </c>
      <c r="I140">
        <v>46000</v>
      </c>
      <c r="J140">
        <v>39000</v>
      </c>
      <c r="K140">
        <v>0.1</v>
      </c>
      <c r="L140">
        <v>2</v>
      </c>
      <c r="M140" t="s">
        <v>278</v>
      </c>
      <c r="N140">
        <v>150000</v>
      </c>
      <c r="O140" t="s">
        <v>32</v>
      </c>
      <c r="P140" t="s">
        <v>935</v>
      </c>
      <c r="Q140" t="s">
        <v>644</v>
      </c>
      <c r="R140">
        <v>41400</v>
      </c>
      <c r="S140">
        <v>2400</v>
      </c>
    </row>
    <row r="141" spans="1:19" x14ac:dyDescent="0.25">
      <c r="A141" t="s">
        <v>435</v>
      </c>
      <c r="B141" s="37">
        <v>45885</v>
      </c>
      <c r="C141" t="s">
        <v>43</v>
      </c>
      <c r="D141" t="s">
        <v>44</v>
      </c>
      <c r="E141" t="s">
        <v>45</v>
      </c>
      <c r="F141" t="s">
        <v>57</v>
      </c>
      <c r="G141" t="s">
        <v>51</v>
      </c>
      <c r="H141">
        <v>1</v>
      </c>
      <c r="I141">
        <v>27500</v>
      </c>
      <c r="J141">
        <v>16500</v>
      </c>
      <c r="K141">
        <v>0</v>
      </c>
      <c r="L141">
        <v>1</v>
      </c>
      <c r="M141" t="s">
        <v>280</v>
      </c>
      <c r="N141">
        <v>150000</v>
      </c>
      <c r="O141" t="s">
        <v>43</v>
      </c>
      <c r="P141" t="s">
        <v>1153</v>
      </c>
      <c r="Q141" t="s">
        <v>644</v>
      </c>
      <c r="R141">
        <v>27500</v>
      </c>
      <c r="S141">
        <v>11000</v>
      </c>
    </row>
    <row r="142" spans="1:19" x14ac:dyDescent="0.25">
      <c r="A142" t="s">
        <v>433</v>
      </c>
      <c r="B142" s="37">
        <v>45885</v>
      </c>
      <c r="C142" t="s">
        <v>43</v>
      </c>
      <c r="D142" t="s">
        <v>44</v>
      </c>
      <c r="E142" t="s">
        <v>45</v>
      </c>
      <c r="F142" t="s">
        <v>72</v>
      </c>
      <c r="G142" t="s">
        <v>47</v>
      </c>
      <c r="H142">
        <v>2</v>
      </c>
      <c r="I142">
        <v>46000</v>
      </c>
      <c r="J142">
        <v>39000</v>
      </c>
      <c r="K142">
        <v>0</v>
      </c>
      <c r="L142">
        <v>4</v>
      </c>
      <c r="M142" t="s">
        <v>280</v>
      </c>
      <c r="N142">
        <v>150000</v>
      </c>
      <c r="O142" t="s">
        <v>43</v>
      </c>
      <c r="P142" t="s">
        <v>1153</v>
      </c>
      <c r="Q142" t="s">
        <v>644</v>
      </c>
      <c r="R142">
        <v>92000</v>
      </c>
      <c r="S142">
        <v>14000</v>
      </c>
    </row>
    <row r="143" spans="1:19" x14ac:dyDescent="0.25">
      <c r="A143" t="s">
        <v>290</v>
      </c>
      <c r="B143" s="37">
        <v>45787</v>
      </c>
      <c r="C143" t="s">
        <v>32</v>
      </c>
      <c r="D143" t="s">
        <v>83</v>
      </c>
      <c r="E143" t="s">
        <v>34</v>
      </c>
      <c r="F143" t="s">
        <v>35</v>
      </c>
      <c r="G143" t="s">
        <v>36</v>
      </c>
      <c r="H143">
        <v>1</v>
      </c>
      <c r="I143">
        <v>18500</v>
      </c>
      <c r="J143">
        <v>11800</v>
      </c>
      <c r="K143">
        <v>0</v>
      </c>
      <c r="L143">
        <v>5</v>
      </c>
      <c r="M143" t="s">
        <v>84</v>
      </c>
      <c r="N143">
        <v>150000</v>
      </c>
      <c r="O143" t="s">
        <v>32</v>
      </c>
      <c r="P143" t="s">
        <v>794</v>
      </c>
      <c r="Q143" t="s">
        <v>644</v>
      </c>
      <c r="R143">
        <v>18500</v>
      </c>
      <c r="S143">
        <v>6700</v>
      </c>
    </row>
    <row r="144" spans="1:19" x14ac:dyDescent="0.25">
      <c r="A144" t="s">
        <v>291</v>
      </c>
      <c r="B144" s="37">
        <v>45788</v>
      </c>
      <c r="C144" t="s">
        <v>43</v>
      </c>
      <c r="D144" t="s">
        <v>44</v>
      </c>
      <c r="E144" t="s">
        <v>34</v>
      </c>
      <c r="F144" t="s">
        <v>69</v>
      </c>
      <c r="G144" t="s">
        <v>66</v>
      </c>
      <c r="H144">
        <v>1</v>
      </c>
      <c r="I144">
        <v>32000</v>
      </c>
      <c r="J144">
        <v>21000</v>
      </c>
      <c r="K144">
        <v>0.1</v>
      </c>
      <c r="L144">
        <v>2</v>
      </c>
      <c r="M144" t="s">
        <v>157</v>
      </c>
      <c r="N144">
        <v>150000</v>
      </c>
      <c r="O144" t="s">
        <v>43</v>
      </c>
      <c r="P144" t="s">
        <v>1135</v>
      </c>
      <c r="Q144" t="s">
        <v>644</v>
      </c>
      <c r="R144">
        <v>28800</v>
      </c>
      <c r="S144">
        <v>7800</v>
      </c>
    </row>
    <row r="145" spans="1:19" x14ac:dyDescent="0.25">
      <c r="A145" t="s">
        <v>432</v>
      </c>
      <c r="B145" s="37">
        <v>45885</v>
      </c>
      <c r="C145" t="s">
        <v>32</v>
      </c>
      <c r="D145" t="s">
        <v>33</v>
      </c>
      <c r="E145" t="s">
        <v>75</v>
      </c>
      <c r="F145" t="s">
        <v>35</v>
      </c>
      <c r="G145" t="s">
        <v>36</v>
      </c>
      <c r="H145">
        <v>3</v>
      </c>
      <c r="I145">
        <v>18500</v>
      </c>
      <c r="J145">
        <v>11800</v>
      </c>
      <c r="K145">
        <v>0</v>
      </c>
      <c r="L145">
        <v>1</v>
      </c>
      <c r="M145" t="s">
        <v>248</v>
      </c>
      <c r="N145">
        <v>500000</v>
      </c>
      <c r="O145" t="s">
        <v>32</v>
      </c>
      <c r="P145" t="s">
        <v>799</v>
      </c>
      <c r="Q145" t="s">
        <v>644</v>
      </c>
      <c r="R145">
        <v>55500</v>
      </c>
      <c r="S145">
        <v>20100</v>
      </c>
    </row>
    <row r="146" spans="1:19" x14ac:dyDescent="0.25">
      <c r="A146" t="s">
        <v>431</v>
      </c>
      <c r="B146" s="37">
        <v>45884</v>
      </c>
      <c r="C146" t="s">
        <v>32</v>
      </c>
      <c r="D146" t="s">
        <v>33</v>
      </c>
      <c r="E146" t="s">
        <v>45</v>
      </c>
      <c r="F146" t="s">
        <v>57</v>
      </c>
      <c r="G146" t="s">
        <v>51</v>
      </c>
      <c r="H146">
        <v>1</v>
      </c>
      <c r="I146">
        <v>27500</v>
      </c>
      <c r="J146">
        <v>16500</v>
      </c>
      <c r="K146">
        <v>0</v>
      </c>
      <c r="L146">
        <v>1</v>
      </c>
      <c r="M146" t="s">
        <v>344</v>
      </c>
      <c r="N146">
        <v>500000</v>
      </c>
      <c r="O146" t="s">
        <v>32</v>
      </c>
      <c r="P146" t="s">
        <v>1090</v>
      </c>
      <c r="Q146" t="s">
        <v>644</v>
      </c>
      <c r="R146">
        <v>27500</v>
      </c>
      <c r="S146">
        <v>11000</v>
      </c>
    </row>
    <row r="147" spans="1:19" x14ac:dyDescent="0.25">
      <c r="A147" t="s">
        <v>295</v>
      </c>
      <c r="B147" s="37">
        <v>45792</v>
      </c>
      <c r="C147" t="s">
        <v>39</v>
      </c>
      <c r="D147" t="s">
        <v>40</v>
      </c>
      <c r="E147" t="s">
        <v>75</v>
      </c>
      <c r="F147" t="s">
        <v>57</v>
      </c>
      <c r="G147" t="s">
        <v>51</v>
      </c>
      <c r="H147">
        <v>4</v>
      </c>
      <c r="I147">
        <v>27500</v>
      </c>
      <c r="J147">
        <v>16500</v>
      </c>
      <c r="K147">
        <v>0</v>
      </c>
      <c r="L147">
        <v>7</v>
      </c>
      <c r="M147" t="s">
        <v>237</v>
      </c>
      <c r="N147">
        <v>50000</v>
      </c>
      <c r="O147" t="s">
        <v>39</v>
      </c>
      <c r="P147" t="s">
        <v>1007</v>
      </c>
      <c r="Q147" t="s">
        <v>644</v>
      </c>
      <c r="R147">
        <v>110000</v>
      </c>
      <c r="S147">
        <v>44000</v>
      </c>
    </row>
    <row r="148" spans="1:19" x14ac:dyDescent="0.25">
      <c r="A148" t="s">
        <v>426</v>
      </c>
      <c r="B148" s="37">
        <v>45880</v>
      </c>
      <c r="C148" t="s">
        <v>54</v>
      </c>
      <c r="D148" t="s">
        <v>55</v>
      </c>
      <c r="E148" t="s">
        <v>75</v>
      </c>
      <c r="F148" t="s">
        <v>35</v>
      </c>
      <c r="G148" t="s">
        <v>36</v>
      </c>
      <c r="H148">
        <v>1</v>
      </c>
      <c r="I148">
        <v>18500</v>
      </c>
      <c r="J148">
        <v>11800</v>
      </c>
      <c r="K148">
        <v>0</v>
      </c>
      <c r="L148">
        <v>3</v>
      </c>
      <c r="M148" t="s">
        <v>58</v>
      </c>
      <c r="N148">
        <v>50000</v>
      </c>
      <c r="O148" t="s">
        <v>54</v>
      </c>
      <c r="P148" t="s">
        <v>986</v>
      </c>
      <c r="Q148" t="s">
        <v>644</v>
      </c>
      <c r="R148">
        <v>18500</v>
      </c>
      <c r="S148">
        <v>6700</v>
      </c>
    </row>
    <row r="149" spans="1:19" x14ac:dyDescent="0.25">
      <c r="A149" t="s">
        <v>421</v>
      </c>
      <c r="B149" s="37">
        <v>45878</v>
      </c>
      <c r="C149" t="s">
        <v>43</v>
      </c>
      <c r="D149" t="s">
        <v>44</v>
      </c>
      <c r="E149" t="s">
        <v>45</v>
      </c>
      <c r="F149" t="s">
        <v>60</v>
      </c>
      <c r="G149" t="s">
        <v>61</v>
      </c>
      <c r="H149">
        <v>4</v>
      </c>
      <c r="I149">
        <v>12000</v>
      </c>
      <c r="J149">
        <v>7200</v>
      </c>
      <c r="K149">
        <v>0</v>
      </c>
      <c r="L149">
        <v>3</v>
      </c>
      <c r="M149" t="s">
        <v>322</v>
      </c>
      <c r="N149">
        <v>100000</v>
      </c>
      <c r="O149" t="s">
        <v>43</v>
      </c>
      <c r="P149" t="s">
        <v>1094</v>
      </c>
      <c r="Q149" t="s">
        <v>644</v>
      </c>
      <c r="R149">
        <v>48000</v>
      </c>
      <c r="S149">
        <v>19200</v>
      </c>
    </row>
    <row r="150" spans="1:19" x14ac:dyDescent="0.25">
      <c r="A150" t="s">
        <v>417</v>
      </c>
      <c r="B150" s="37">
        <v>45875</v>
      </c>
      <c r="C150" t="s">
        <v>43</v>
      </c>
      <c r="D150" t="s">
        <v>44</v>
      </c>
      <c r="E150" t="s">
        <v>56</v>
      </c>
      <c r="F150" t="s">
        <v>69</v>
      </c>
      <c r="G150" t="s">
        <v>66</v>
      </c>
      <c r="H150">
        <v>2</v>
      </c>
      <c r="I150">
        <v>32000</v>
      </c>
      <c r="J150">
        <v>21000</v>
      </c>
      <c r="K150">
        <v>0.1</v>
      </c>
      <c r="L150">
        <v>2</v>
      </c>
      <c r="M150" t="s">
        <v>418</v>
      </c>
      <c r="N150">
        <v>100000</v>
      </c>
      <c r="O150" t="s">
        <v>43</v>
      </c>
      <c r="P150" t="s">
        <v>1023</v>
      </c>
      <c r="Q150" t="s">
        <v>644</v>
      </c>
      <c r="R150">
        <v>57600</v>
      </c>
      <c r="S150">
        <v>15600</v>
      </c>
    </row>
    <row r="151" spans="1:19" x14ac:dyDescent="0.25">
      <c r="A151" t="s">
        <v>300</v>
      </c>
      <c r="B151" s="37">
        <v>45795</v>
      </c>
      <c r="C151" t="s">
        <v>54</v>
      </c>
      <c r="D151" t="s">
        <v>55</v>
      </c>
      <c r="E151" t="s">
        <v>45</v>
      </c>
      <c r="F151" t="s">
        <v>46</v>
      </c>
      <c r="G151" t="s">
        <v>47</v>
      </c>
      <c r="H151">
        <v>1</v>
      </c>
      <c r="I151">
        <v>9800</v>
      </c>
      <c r="J151">
        <v>7600</v>
      </c>
      <c r="K151">
        <v>0</v>
      </c>
      <c r="L151">
        <v>4</v>
      </c>
      <c r="M151" t="s">
        <v>140</v>
      </c>
      <c r="N151">
        <v>250000</v>
      </c>
      <c r="O151" t="s">
        <v>54</v>
      </c>
      <c r="P151" t="s">
        <v>844</v>
      </c>
      <c r="Q151" t="s">
        <v>644</v>
      </c>
      <c r="R151">
        <v>9800</v>
      </c>
      <c r="S151">
        <v>2200</v>
      </c>
    </row>
    <row r="152" spans="1:19" x14ac:dyDescent="0.25">
      <c r="A152" t="s">
        <v>301</v>
      </c>
      <c r="B152" s="37">
        <v>45796</v>
      </c>
      <c r="C152" t="s">
        <v>32</v>
      </c>
      <c r="D152" t="s">
        <v>33</v>
      </c>
      <c r="E152" t="s">
        <v>45</v>
      </c>
      <c r="F152" t="s">
        <v>46</v>
      </c>
      <c r="G152" t="s">
        <v>47</v>
      </c>
      <c r="H152">
        <v>2</v>
      </c>
      <c r="I152">
        <v>9800</v>
      </c>
      <c r="J152">
        <v>7600</v>
      </c>
      <c r="K152">
        <v>0</v>
      </c>
      <c r="L152">
        <v>5</v>
      </c>
      <c r="M152" t="s">
        <v>302</v>
      </c>
      <c r="N152">
        <v>500000</v>
      </c>
      <c r="O152" t="s">
        <v>32</v>
      </c>
      <c r="P152" t="s">
        <v>918</v>
      </c>
      <c r="Q152" t="s">
        <v>644</v>
      </c>
      <c r="R152">
        <v>19600</v>
      </c>
      <c r="S152">
        <v>4400</v>
      </c>
    </row>
    <row r="153" spans="1:19" x14ac:dyDescent="0.25">
      <c r="A153" t="s">
        <v>416</v>
      </c>
      <c r="B153" s="37">
        <v>45874</v>
      </c>
      <c r="C153" t="s">
        <v>43</v>
      </c>
      <c r="D153" t="s">
        <v>44</v>
      </c>
      <c r="E153" t="s">
        <v>45</v>
      </c>
      <c r="F153" t="s">
        <v>69</v>
      </c>
      <c r="G153" t="s">
        <v>66</v>
      </c>
      <c r="H153">
        <v>1</v>
      </c>
      <c r="I153">
        <v>32000</v>
      </c>
      <c r="J153">
        <v>21000</v>
      </c>
      <c r="K153">
        <v>0</v>
      </c>
      <c r="L153">
        <v>10</v>
      </c>
      <c r="M153" t="s">
        <v>322</v>
      </c>
      <c r="N153">
        <v>100000</v>
      </c>
      <c r="O153" t="s">
        <v>43</v>
      </c>
      <c r="P153" t="s">
        <v>1094</v>
      </c>
      <c r="Q153" t="s">
        <v>644</v>
      </c>
      <c r="R153">
        <v>32000</v>
      </c>
      <c r="S153">
        <v>11000</v>
      </c>
    </row>
    <row r="154" spans="1:19" x14ac:dyDescent="0.25">
      <c r="A154" t="s">
        <v>304</v>
      </c>
      <c r="B154" s="37">
        <v>45799</v>
      </c>
      <c r="C154" t="s">
        <v>54</v>
      </c>
      <c r="D154" t="s">
        <v>55</v>
      </c>
      <c r="E154" t="s">
        <v>75</v>
      </c>
      <c r="F154" t="s">
        <v>101</v>
      </c>
      <c r="G154" t="s">
        <v>61</v>
      </c>
      <c r="H154">
        <v>5</v>
      </c>
      <c r="I154">
        <v>28000</v>
      </c>
      <c r="J154">
        <v>18500</v>
      </c>
      <c r="K154">
        <v>0</v>
      </c>
      <c r="L154">
        <v>3</v>
      </c>
      <c r="M154" t="s">
        <v>305</v>
      </c>
      <c r="N154">
        <v>250000</v>
      </c>
      <c r="O154" t="s">
        <v>54</v>
      </c>
      <c r="P154" t="s">
        <v>1160</v>
      </c>
      <c r="Q154" t="s">
        <v>644</v>
      </c>
      <c r="R154">
        <v>140000</v>
      </c>
      <c r="S154">
        <v>47500</v>
      </c>
    </row>
    <row r="155" spans="1:19" x14ac:dyDescent="0.25">
      <c r="A155" t="s">
        <v>414</v>
      </c>
      <c r="B155" s="37">
        <v>45872</v>
      </c>
      <c r="C155" t="s">
        <v>54</v>
      </c>
      <c r="D155" t="s">
        <v>55</v>
      </c>
      <c r="E155" t="s">
        <v>34</v>
      </c>
      <c r="F155" t="s">
        <v>72</v>
      </c>
      <c r="G155" t="s">
        <v>47</v>
      </c>
      <c r="H155">
        <v>1</v>
      </c>
      <c r="I155">
        <v>46000</v>
      </c>
      <c r="J155">
        <v>39000</v>
      </c>
      <c r="K155">
        <v>0</v>
      </c>
      <c r="L155">
        <v>1</v>
      </c>
      <c r="M155" t="s">
        <v>58</v>
      </c>
      <c r="N155">
        <v>50000</v>
      </c>
      <c r="O155" t="s">
        <v>54</v>
      </c>
      <c r="P155" t="s">
        <v>986</v>
      </c>
      <c r="Q155" t="s">
        <v>644</v>
      </c>
      <c r="R155">
        <v>46000</v>
      </c>
      <c r="S155">
        <v>7000</v>
      </c>
    </row>
    <row r="156" spans="1:19" x14ac:dyDescent="0.25">
      <c r="A156" t="s">
        <v>307</v>
      </c>
      <c r="B156" s="37">
        <v>45802</v>
      </c>
      <c r="C156" t="s">
        <v>39</v>
      </c>
      <c r="D156" t="s">
        <v>40</v>
      </c>
      <c r="E156" t="s">
        <v>34</v>
      </c>
      <c r="F156" t="s">
        <v>101</v>
      </c>
      <c r="G156" t="s">
        <v>61</v>
      </c>
      <c r="H156">
        <v>2</v>
      </c>
      <c r="I156">
        <v>28000</v>
      </c>
      <c r="J156">
        <v>18500</v>
      </c>
      <c r="K156">
        <v>0</v>
      </c>
      <c r="L156">
        <v>1</v>
      </c>
      <c r="M156" t="s">
        <v>308</v>
      </c>
      <c r="N156">
        <v>250000</v>
      </c>
      <c r="O156" t="s">
        <v>39</v>
      </c>
      <c r="P156" t="s">
        <v>772</v>
      </c>
      <c r="Q156" t="s">
        <v>644</v>
      </c>
      <c r="R156">
        <v>56000</v>
      </c>
      <c r="S156">
        <v>19000</v>
      </c>
    </row>
    <row r="157" spans="1:19" x14ac:dyDescent="0.25">
      <c r="A157" t="s">
        <v>309</v>
      </c>
      <c r="B157" s="37">
        <v>45803</v>
      </c>
      <c r="C157" t="s">
        <v>39</v>
      </c>
      <c r="D157" t="s">
        <v>40</v>
      </c>
      <c r="E157" t="s">
        <v>56</v>
      </c>
      <c r="F157" t="s">
        <v>57</v>
      </c>
      <c r="G157" t="s">
        <v>51</v>
      </c>
      <c r="H157">
        <v>1</v>
      </c>
      <c r="I157">
        <v>27500</v>
      </c>
      <c r="J157">
        <v>16500</v>
      </c>
      <c r="K157">
        <v>0</v>
      </c>
      <c r="L157">
        <v>3</v>
      </c>
      <c r="M157" t="s">
        <v>310</v>
      </c>
      <c r="N157">
        <v>100000</v>
      </c>
      <c r="O157" t="s">
        <v>39</v>
      </c>
      <c r="P157" t="s">
        <v>781</v>
      </c>
      <c r="Q157" t="s">
        <v>644</v>
      </c>
      <c r="R157">
        <v>27500</v>
      </c>
      <c r="S157">
        <v>11000</v>
      </c>
    </row>
    <row r="158" spans="1:19" x14ac:dyDescent="0.25">
      <c r="A158" t="s">
        <v>413</v>
      </c>
      <c r="B158" s="37">
        <v>45871</v>
      </c>
      <c r="C158" t="s">
        <v>43</v>
      </c>
      <c r="D158" t="s">
        <v>44</v>
      </c>
      <c r="E158" t="s">
        <v>45</v>
      </c>
      <c r="F158" t="s">
        <v>57</v>
      </c>
      <c r="G158" t="s">
        <v>51</v>
      </c>
      <c r="H158">
        <v>3</v>
      </c>
      <c r="I158">
        <v>27500</v>
      </c>
      <c r="J158">
        <v>16500</v>
      </c>
      <c r="K158">
        <v>0</v>
      </c>
      <c r="L158">
        <v>1</v>
      </c>
      <c r="M158" t="s">
        <v>104</v>
      </c>
      <c r="N158">
        <v>50000</v>
      </c>
      <c r="O158" t="s">
        <v>43</v>
      </c>
      <c r="P158" t="s">
        <v>891</v>
      </c>
      <c r="Q158" t="s">
        <v>644</v>
      </c>
      <c r="R158">
        <v>82500</v>
      </c>
      <c r="S158">
        <v>33000</v>
      </c>
    </row>
    <row r="159" spans="1:19" x14ac:dyDescent="0.25">
      <c r="A159" t="s">
        <v>408</v>
      </c>
      <c r="B159" s="37">
        <v>45868</v>
      </c>
      <c r="C159" t="s">
        <v>54</v>
      </c>
      <c r="D159" t="s">
        <v>55</v>
      </c>
      <c r="E159" t="s">
        <v>34</v>
      </c>
      <c r="F159" t="s">
        <v>60</v>
      </c>
      <c r="G159" t="s">
        <v>61</v>
      </c>
      <c r="H159">
        <v>8</v>
      </c>
      <c r="I159">
        <v>12000</v>
      </c>
      <c r="J159">
        <v>7200</v>
      </c>
      <c r="K159">
        <v>0.1</v>
      </c>
      <c r="L159">
        <v>4</v>
      </c>
      <c r="M159" t="s">
        <v>145</v>
      </c>
      <c r="N159">
        <v>50000</v>
      </c>
      <c r="O159" t="s">
        <v>54</v>
      </c>
      <c r="P159" t="s">
        <v>898</v>
      </c>
      <c r="Q159" t="s">
        <v>644</v>
      </c>
      <c r="R159">
        <v>86400</v>
      </c>
      <c r="S159">
        <v>28800</v>
      </c>
    </row>
    <row r="160" spans="1:19" x14ac:dyDescent="0.25">
      <c r="A160" t="s">
        <v>314</v>
      </c>
      <c r="B160" s="37">
        <v>45806</v>
      </c>
      <c r="C160" t="s">
        <v>43</v>
      </c>
      <c r="D160" t="s">
        <v>44</v>
      </c>
      <c r="E160" t="s">
        <v>45</v>
      </c>
      <c r="F160" t="s">
        <v>101</v>
      </c>
      <c r="G160" t="s">
        <v>61</v>
      </c>
      <c r="H160">
        <v>1</v>
      </c>
      <c r="I160">
        <v>28000</v>
      </c>
      <c r="J160">
        <v>18500</v>
      </c>
      <c r="K160">
        <v>0</v>
      </c>
      <c r="L160">
        <v>2</v>
      </c>
      <c r="M160" t="s">
        <v>104</v>
      </c>
      <c r="N160">
        <v>50000</v>
      </c>
      <c r="O160" t="s">
        <v>43</v>
      </c>
      <c r="P160" t="s">
        <v>891</v>
      </c>
      <c r="Q160" t="s">
        <v>644</v>
      </c>
      <c r="R160">
        <v>28000</v>
      </c>
      <c r="S160">
        <v>9500</v>
      </c>
    </row>
    <row r="161" spans="1:19" x14ac:dyDescent="0.25">
      <c r="A161" t="s">
        <v>407</v>
      </c>
      <c r="B161" s="37">
        <v>45868</v>
      </c>
      <c r="C161" t="s">
        <v>43</v>
      </c>
      <c r="D161" t="s">
        <v>44</v>
      </c>
      <c r="E161" t="s">
        <v>56</v>
      </c>
      <c r="F161" t="s">
        <v>57</v>
      </c>
      <c r="G161" t="s">
        <v>51</v>
      </c>
      <c r="H161">
        <v>1</v>
      </c>
      <c r="I161">
        <v>27500</v>
      </c>
      <c r="J161">
        <v>16500</v>
      </c>
      <c r="K161">
        <v>0</v>
      </c>
      <c r="L161">
        <v>5</v>
      </c>
      <c r="M161" t="s">
        <v>385</v>
      </c>
      <c r="N161">
        <v>250000</v>
      </c>
      <c r="O161" t="s">
        <v>43</v>
      </c>
      <c r="P161" t="s">
        <v>906</v>
      </c>
      <c r="Q161" t="s">
        <v>644</v>
      </c>
      <c r="R161">
        <v>27500</v>
      </c>
      <c r="S161">
        <v>11000</v>
      </c>
    </row>
    <row r="162" spans="1:19" x14ac:dyDescent="0.25">
      <c r="A162" t="s">
        <v>317</v>
      </c>
      <c r="B162" s="37">
        <v>45807</v>
      </c>
      <c r="C162" t="s">
        <v>32</v>
      </c>
      <c r="D162" t="s">
        <v>33</v>
      </c>
      <c r="E162" t="s">
        <v>45</v>
      </c>
      <c r="F162" t="s">
        <v>65</v>
      </c>
      <c r="G162" t="s">
        <v>66</v>
      </c>
      <c r="H162">
        <v>2</v>
      </c>
      <c r="I162">
        <v>24000</v>
      </c>
      <c r="J162">
        <v>14500</v>
      </c>
      <c r="K162">
        <v>0</v>
      </c>
      <c r="L162">
        <v>2</v>
      </c>
      <c r="M162" t="s">
        <v>113</v>
      </c>
      <c r="N162">
        <v>50000</v>
      </c>
      <c r="O162" t="s">
        <v>32</v>
      </c>
      <c r="P162" t="s">
        <v>895</v>
      </c>
      <c r="Q162" t="s">
        <v>644</v>
      </c>
      <c r="R162">
        <v>48000</v>
      </c>
      <c r="S162">
        <v>19000</v>
      </c>
    </row>
    <row r="163" spans="1:19" x14ac:dyDescent="0.25">
      <c r="A163" t="s">
        <v>406</v>
      </c>
      <c r="B163" s="37">
        <v>45867</v>
      </c>
      <c r="C163" t="s">
        <v>63</v>
      </c>
      <c r="D163" t="s">
        <v>64</v>
      </c>
      <c r="E163" t="s">
        <v>45</v>
      </c>
      <c r="F163" t="s">
        <v>78</v>
      </c>
      <c r="G163" t="s">
        <v>36</v>
      </c>
      <c r="H163">
        <v>3</v>
      </c>
      <c r="I163">
        <v>22000</v>
      </c>
      <c r="J163">
        <v>13800</v>
      </c>
      <c r="K163">
        <v>0</v>
      </c>
      <c r="L163">
        <v>1</v>
      </c>
      <c r="M163" t="s">
        <v>364</v>
      </c>
      <c r="N163">
        <v>50000</v>
      </c>
      <c r="O163" t="s">
        <v>63</v>
      </c>
      <c r="P163" t="s">
        <v>826</v>
      </c>
      <c r="Q163" t="s">
        <v>644</v>
      </c>
      <c r="R163">
        <v>66000</v>
      </c>
      <c r="S163">
        <v>24600</v>
      </c>
    </row>
    <row r="164" spans="1:19" x14ac:dyDescent="0.25">
      <c r="A164" t="s">
        <v>405</v>
      </c>
      <c r="B164" s="37">
        <v>45866</v>
      </c>
      <c r="C164" t="s">
        <v>43</v>
      </c>
      <c r="D164" t="s">
        <v>44</v>
      </c>
      <c r="E164" t="s">
        <v>75</v>
      </c>
      <c r="F164" t="s">
        <v>88</v>
      </c>
      <c r="G164" t="s">
        <v>89</v>
      </c>
      <c r="H164">
        <v>5</v>
      </c>
      <c r="I164">
        <v>6800</v>
      </c>
      <c r="J164">
        <v>3900</v>
      </c>
      <c r="K164">
        <v>0</v>
      </c>
      <c r="L164">
        <v>2</v>
      </c>
      <c r="M164" t="s">
        <v>104</v>
      </c>
      <c r="N164">
        <v>50000</v>
      </c>
      <c r="O164" t="s">
        <v>43</v>
      </c>
      <c r="P164" t="s">
        <v>891</v>
      </c>
      <c r="Q164" t="s">
        <v>644</v>
      </c>
      <c r="R164">
        <v>34000</v>
      </c>
      <c r="S164">
        <v>14500</v>
      </c>
    </row>
    <row r="165" spans="1:19" x14ac:dyDescent="0.25">
      <c r="A165" t="s">
        <v>321</v>
      </c>
      <c r="B165" s="37">
        <v>45809</v>
      </c>
      <c r="C165" t="s">
        <v>43</v>
      </c>
      <c r="D165" t="s">
        <v>44</v>
      </c>
      <c r="E165" t="s">
        <v>56</v>
      </c>
      <c r="F165" t="s">
        <v>35</v>
      </c>
      <c r="G165" t="s">
        <v>36</v>
      </c>
      <c r="H165">
        <v>1</v>
      </c>
      <c r="I165">
        <v>18500</v>
      </c>
      <c r="J165">
        <v>11800</v>
      </c>
      <c r="K165">
        <v>0</v>
      </c>
      <c r="L165">
        <v>4</v>
      </c>
      <c r="M165" t="s">
        <v>322</v>
      </c>
      <c r="N165">
        <v>100000</v>
      </c>
      <c r="O165" t="s">
        <v>43</v>
      </c>
      <c r="P165" t="s">
        <v>1094</v>
      </c>
      <c r="Q165" t="s">
        <v>644</v>
      </c>
      <c r="R165">
        <v>18500</v>
      </c>
      <c r="S165">
        <v>6700</v>
      </c>
    </row>
    <row r="166" spans="1:19" x14ac:dyDescent="0.25">
      <c r="A166" t="s">
        <v>402</v>
      </c>
      <c r="B166" s="37">
        <v>45865</v>
      </c>
      <c r="C166" t="s">
        <v>43</v>
      </c>
      <c r="D166" t="s">
        <v>44</v>
      </c>
      <c r="E166" t="s">
        <v>45</v>
      </c>
      <c r="F166" t="s">
        <v>88</v>
      </c>
      <c r="G166" t="s">
        <v>89</v>
      </c>
      <c r="H166">
        <v>4</v>
      </c>
      <c r="I166">
        <v>6800</v>
      </c>
      <c r="J166">
        <v>3900</v>
      </c>
      <c r="K166">
        <v>0</v>
      </c>
      <c r="L166">
        <v>2</v>
      </c>
      <c r="M166" t="s">
        <v>188</v>
      </c>
      <c r="N166">
        <v>500000</v>
      </c>
      <c r="O166" t="s">
        <v>43</v>
      </c>
      <c r="P166" t="s">
        <v>689</v>
      </c>
      <c r="Q166" t="s">
        <v>644</v>
      </c>
      <c r="R166">
        <v>27200</v>
      </c>
      <c r="S166">
        <v>11600</v>
      </c>
    </row>
    <row r="167" spans="1:19" x14ac:dyDescent="0.25">
      <c r="A167" t="s">
        <v>401</v>
      </c>
      <c r="B167" s="37">
        <v>45863</v>
      </c>
      <c r="C167" t="s">
        <v>54</v>
      </c>
      <c r="D167" t="s">
        <v>55</v>
      </c>
      <c r="E167" t="s">
        <v>75</v>
      </c>
      <c r="F167" t="s">
        <v>65</v>
      </c>
      <c r="G167" t="s">
        <v>66</v>
      </c>
      <c r="H167">
        <v>1</v>
      </c>
      <c r="I167">
        <v>24000</v>
      </c>
      <c r="J167">
        <v>14500</v>
      </c>
      <c r="K167">
        <v>0</v>
      </c>
      <c r="L167">
        <v>3</v>
      </c>
      <c r="M167" t="s">
        <v>145</v>
      </c>
      <c r="N167">
        <v>50000</v>
      </c>
      <c r="O167" t="s">
        <v>54</v>
      </c>
      <c r="P167" t="s">
        <v>898</v>
      </c>
      <c r="Q167" t="s">
        <v>644</v>
      </c>
      <c r="R167">
        <v>24000</v>
      </c>
      <c r="S167">
        <v>9500</v>
      </c>
    </row>
    <row r="168" spans="1:19" x14ac:dyDescent="0.25">
      <c r="A168" t="s">
        <v>326</v>
      </c>
      <c r="B168" s="37">
        <v>45811</v>
      </c>
      <c r="C168" t="s">
        <v>63</v>
      </c>
      <c r="D168" t="s">
        <v>64</v>
      </c>
      <c r="E168" t="s">
        <v>45</v>
      </c>
      <c r="F168" t="s">
        <v>101</v>
      </c>
      <c r="G168" t="s">
        <v>61</v>
      </c>
      <c r="H168">
        <v>1</v>
      </c>
      <c r="I168">
        <v>28000</v>
      </c>
      <c r="J168">
        <v>18500</v>
      </c>
      <c r="K168">
        <v>0</v>
      </c>
      <c r="L168">
        <v>2</v>
      </c>
      <c r="M168" t="s">
        <v>208</v>
      </c>
      <c r="N168">
        <v>50000</v>
      </c>
      <c r="O168" t="s">
        <v>63</v>
      </c>
      <c r="P168" t="s">
        <v>718</v>
      </c>
      <c r="Q168" t="s">
        <v>644</v>
      </c>
      <c r="R168">
        <v>28000</v>
      </c>
      <c r="S168">
        <v>9500</v>
      </c>
    </row>
    <row r="169" spans="1:19" x14ac:dyDescent="0.25">
      <c r="A169" t="s">
        <v>327</v>
      </c>
      <c r="B169" s="37">
        <v>45812</v>
      </c>
      <c r="C169" t="s">
        <v>32</v>
      </c>
      <c r="D169" t="s">
        <v>83</v>
      </c>
      <c r="E169" t="s">
        <v>75</v>
      </c>
      <c r="F169" t="s">
        <v>65</v>
      </c>
      <c r="G169" t="s">
        <v>66</v>
      </c>
      <c r="H169">
        <v>3</v>
      </c>
      <c r="I169">
        <v>24000</v>
      </c>
      <c r="J169">
        <v>14500</v>
      </c>
      <c r="K169">
        <v>0</v>
      </c>
      <c r="L169">
        <v>2</v>
      </c>
      <c r="M169" t="s">
        <v>282</v>
      </c>
      <c r="N169">
        <v>250000</v>
      </c>
      <c r="O169" t="s">
        <v>32</v>
      </c>
      <c r="P169" t="s">
        <v>1027</v>
      </c>
      <c r="Q169" t="s">
        <v>644</v>
      </c>
      <c r="R169">
        <v>72000</v>
      </c>
      <c r="S169">
        <v>28500</v>
      </c>
    </row>
    <row r="170" spans="1:19" x14ac:dyDescent="0.25">
      <c r="A170" t="s">
        <v>328</v>
      </c>
      <c r="B170" s="37">
        <v>45812</v>
      </c>
      <c r="C170" t="s">
        <v>54</v>
      </c>
      <c r="D170" t="s">
        <v>55</v>
      </c>
      <c r="E170" t="s">
        <v>56</v>
      </c>
      <c r="F170" t="s">
        <v>78</v>
      </c>
      <c r="G170" t="s">
        <v>36</v>
      </c>
      <c r="H170">
        <v>1</v>
      </c>
      <c r="I170">
        <v>22000</v>
      </c>
      <c r="J170">
        <v>13800</v>
      </c>
      <c r="K170">
        <v>0</v>
      </c>
      <c r="L170">
        <v>1</v>
      </c>
      <c r="M170" t="s">
        <v>140</v>
      </c>
      <c r="N170">
        <v>250000</v>
      </c>
      <c r="O170" t="s">
        <v>54</v>
      </c>
      <c r="P170" t="s">
        <v>844</v>
      </c>
      <c r="Q170" t="s">
        <v>644</v>
      </c>
      <c r="R170">
        <v>22000</v>
      </c>
      <c r="S170">
        <v>8200</v>
      </c>
    </row>
    <row r="171" spans="1:19" x14ac:dyDescent="0.25">
      <c r="A171" t="s">
        <v>329</v>
      </c>
      <c r="B171" s="37">
        <v>45812</v>
      </c>
      <c r="C171" t="s">
        <v>43</v>
      </c>
      <c r="D171" t="s">
        <v>44</v>
      </c>
      <c r="E171" t="s">
        <v>45</v>
      </c>
      <c r="F171" t="s">
        <v>65</v>
      </c>
      <c r="G171" t="s">
        <v>66</v>
      </c>
      <c r="H171">
        <v>1</v>
      </c>
      <c r="I171">
        <v>24000</v>
      </c>
      <c r="J171">
        <v>14500</v>
      </c>
      <c r="K171">
        <v>0</v>
      </c>
      <c r="L171">
        <v>1</v>
      </c>
      <c r="M171" t="s">
        <v>157</v>
      </c>
      <c r="N171">
        <v>150000</v>
      </c>
      <c r="O171" t="s">
        <v>43</v>
      </c>
      <c r="P171" t="s">
        <v>1135</v>
      </c>
      <c r="Q171" t="s">
        <v>644</v>
      </c>
      <c r="R171">
        <v>24000</v>
      </c>
      <c r="S171">
        <v>9500</v>
      </c>
    </row>
    <row r="172" spans="1:19" x14ac:dyDescent="0.25">
      <c r="A172" t="s">
        <v>400</v>
      </c>
      <c r="B172" s="37">
        <v>45863</v>
      </c>
      <c r="C172" t="s">
        <v>32</v>
      </c>
      <c r="D172" t="s">
        <v>83</v>
      </c>
      <c r="E172" t="s">
        <v>34</v>
      </c>
      <c r="F172" t="s">
        <v>35</v>
      </c>
      <c r="G172" t="s">
        <v>36</v>
      </c>
      <c r="H172">
        <v>2</v>
      </c>
      <c r="I172">
        <v>18500</v>
      </c>
      <c r="J172">
        <v>11800</v>
      </c>
      <c r="K172">
        <v>0</v>
      </c>
      <c r="L172">
        <v>3</v>
      </c>
      <c r="M172" t="s">
        <v>278</v>
      </c>
      <c r="N172">
        <v>150000</v>
      </c>
      <c r="O172" t="s">
        <v>32</v>
      </c>
      <c r="P172" t="s">
        <v>935</v>
      </c>
      <c r="Q172" t="s">
        <v>644</v>
      </c>
      <c r="R172">
        <v>37000</v>
      </c>
      <c r="S172">
        <v>13400</v>
      </c>
    </row>
    <row r="173" spans="1:19" x14ac:dyDescent="0.25">
      <c r="A173" t="s">
        <v>395</v>
      </c>
      <c r="B173" s="37">
        <v>45857</v>
      </c>
      <c r="C173" t="s">
        <v>54</v>
      </c>
      <c r="D173" t="s">
        <v>55</v>
      </c>
      <c r="E173" t="s">
        <v>75</v>
      </c>
      <c r="F173" t="s">
        <v>72</v>
      </c>
      <c r="G173" t="s">
        <v>47</v>
      </c>
      <c r="H173">
        <v>1</v>
      </c>
      <c r="I173">
        <v>46000</v>
      </c>
      <c r="J173">
        <v>39000</v>
      </c>
      <c r="K173">
        <v>0</v>
      </c>
      <c r="L173">
        <v>3</v>
      </c>
      <c r="M173" t="s">
        <v>396</v>
      </c>
      <c r="N173">
        <v>250000</v>
      </c>
      <c r="O173" t="s">
        <v>54</v>
      </c>
      <c r="P173" t="s">
        <v>874</v>
      </c>
      <c r="Q173" t="s">
        <v>644</v>
      </c>
      <c r="R173">
        <v>46000</v>
      </c>
      <c r="S173">
        <v>7000</v>
      </c>
    </row>
    <row r="174" spans="1:19" x14ac:dyDescent="0.25">
      <c r="A174" t="s">
        <v>332</v>
      </c>
      <c r="B174" s="37">
        <v>45816</v>
      </c>
      <c r="C174" t="s">
        <v>43</v>
      </c>
      <c r="D174" t="s">
        <v>44</v>
      </c>
      <c r="E174" t="s">
        <v>34</v>
      </c>
      <c r="F174" t="s">
        <v>88</v>
      </c>
      <c r="G174" t="s">
        <v>89</v>
      </c>
      <c r="H174">
        <v>5</v>
      </c>
      <c r="I174">
        <v>6800</v>
      </c>
      <c r="J174">
        <v>3900</v>
      </c>
      <c r="K174">
        <v>0</v>
      </c>
      <c r="L174">
        <v>5</v>
      </c>
      <c r="M174" t="s">
        <v>188</v>
      </c>
      <c r="N174">
        <v>500000</v>
      </c>
      <c r="O174" t="s">
        <v>43</v>
      </c>
      <c r="P174" t="s">
        <v>689</v>
      </c>
      <c r="Q174" t="s">
        <v>644</v>
      </c>
      <c r="R174">
        <v>34000</v>
      </c>
      <c r="S174">
        <v>14500</v>
      </c>
    </row>
    <row r="175" spans="1:19" x14ac:dyDescent="0.25">
      <c r="A175" t="s">
        <v>394</v>
      </c>
      <c r="B175" s="37">
        <v>45856</v>
      </c>
      <c r="C175" t="s">
        <v>32</v>
      </c>
      <c r="D175" t="s">
        <v>33</v>
      </c>
      <c r="E175" t="s">
        <v>45</v>
      </c>
      <c r="F175" t="s">
        <v>88</v>
      </c>
      <c r="G175" t="s">
        <v>89</v>
      </c>
      <c r="H175">
        <v>5</v>
      </c>
      <c r="I175">
        <v>6800</v>
      </c>
      <c r="J175">
        <v>3900</v>
      </c>
      <c r="K175">
        <v>0.1</v>
      </c>
      <c r="L175">
        <v>5</v>
      </c>
      <c r="M175" t="s">
        <v>155</v>
      </c>
      <c r="N175">
        <v>100000</v>
      </c>
      <c r="O175" t="s">
        <v>32</v>
      </c>
      <c r="P175" t="s">
        <v>860</v>
      </c>
      <c r="Q175" t="s">
        <v>644</v>
      </c>
      <c r="R175">
        <v>30600</v>
      </c>
      <c r="S175">
        <v>11100</v>
      </c>
    </row>
    <row r="176" spans="1:19" x14ac:dyDescent="0.25">
      <c r="A176" t="s">
        <v>335</v>
      </c>
      <c r="B176" s="37">
        <v>45817</v>
      </c>
      <c r="C176" t="s">
        <v>39</v>
      </c>
      <c r="D176" t="s">
        <v>40</v>
      </c>
      <c r="E176" t="s">
        <v>75</v>
      </c>
      <c r="F176" t="s">
        <v>69</v>
      </c>
      <c r="G176" t="s">
        <v>66</v>
      </c>
      <c r="H176">
        <v>2</v>
      </c>
      <c r="I176">
        <v>32000</v>
      </c>
      <c r="J176">
        <v>21000</v>
      </c>
      <c r="K176">
        <v>0</v>
      </c>
      <c r="L176">
        <v>1</v>
      </c>
      <c r="M176" t="s">
        <v>237</v>
      </c>
      <c r="N176">
        <v>50000</v>
      </c>
      <c r="O176" t="s">
        <v>39</v>
      </c>
      <c r="P176" t="s">
        <v>1007</v>
      </c>
      <c r="Q176" t="s">
        <v>644</v>
      </c>
      <c r="R176">
        <v>64000</v>
      </c>
      <c r="S176">
        <v>22000</v>
      </c>
    </row>
    <row r="177" spans="1:19" x14ac:dyDescent="0.25">
      <c r="A177" t="s">
        <v>336</v>
      </c>
      <c r="B177" s="37">
        <v>45818</v>
      </c>
      <c r="C177" t="s">
        <v>39</v>
      </c>
      <c r="D177" t="s">
        <v>40</v>
      </c>
      <c r="E177" t="s">
        <v>45</v>
      </c>
      <c r="F177" t="s">
        <v>57</v>
      </c>
      <c r="G177" t="s">
        <v>51</v>
      </c>
      <c r="H177">
        <v>4</v>
      </c>
      <c r="I177">
        <v>27500</v>
      </c>
      <c r="J177">
        <v>16500</v>
      </c>
      <c r="K177">
        <v>0</v>
      </c>
      <c r="L177">
        <v>3</v>
      </c>
      <c r="M177" t="s">
        <v>245</v>
      </c>
      <c r="N177">
        <v>150000</v>
      </c>
      <c r="O177" t="s">
        <v>39</v>
      </c>
      <c r="P177" t="s">
        <v>966</v>
      </c>
      <c r="Q177" t="s">
        <v>644</v>
      </c>
      <c r="R177">
        <v>110000</v>
      </c>
      <c r="S177">
        <v>44000</v>
      </c>
    </row>
    <row r="178" spans="1:19" x14ac:dyDescent="0.25">
      <c r="A178" t="s">
        <v>393</v>
      </c>
      <c r="B178" s="37">
        <v>45856</v>
      </c>
      <c r="C178" t="s">
        <v>63</v>
      </c>
      <c r="D178" t="s">
        <v>64</v>
      </c>
      <c r="E178" t="s">
        <v>45</v>
      </c>
      <c r="F178" t="s">
        <v>35</v>
      </c>
      <c r="G178" t="s">
        <v>36</v>
      </c>
      <c r="H178">
        <v>2</v>
      </c>
      <c r="I178">
        <v>18500</v>
      </c>
      <c r="J178">
        <v>11800</v>
      </c>
      <c r="K178">
        <v>0.05</v>
      </c>
      <c r="L178">
        <v>1</v>
      </c>
      <c r="M178" t="s">
        <v>347</v>
      </c>
      <c r="N178">
        <v>250000</v>
      </c>
      <c r="O178" t="s">
        <v>63</v>
      </c>
      <c r="P178" t="s">
        <v>926</v>
      </c>
      <c r="Q178" t="s">
        <v>644</v>
      </c>
      <c r="R178">
        <v>35150</v>
      </c>
      <c r="S178">
        <v>11550</v>
      </c>
    </row>
    <row r="179" spans="1:19" x14ac:dyDescent="0.25">
      <c r="A179" t="s">
        <v>338</v>
      </c>
      <c r="B179" s="37">
        <v>45820</v>
      </c>
      <c r="C179" t="s">
        <v>32</v>
      </c>
      <c r="D179" t="s">
        <v>83</v>
      </c>
      <c r="E179" t="s">
        <v>45</v>
      </c>
      <c r="F179" t="s">
        <v>35</v>
      </c>
      <c r="G179" t="s">
        <v>36</v>
      </c>
      <c r="H179">
        <v>3</v>
      </c>
      <c r="I179">
        <v>18500</v>
      </c>
      <c r="J179">
        <v>11800</v>
      </c>
      <c r="K179">
        <v>0</v>
      </c>
      <c r="L179">
        <v>2</v>
      </c>
      <c r="M179" t="s">
        <v>174</v>
      </c>
      <c r="N179">
        <v>500000</v>
      </c>
      <c r="O179" t="s">
        <v>32</v>
      </c>
      <c r="P179" t="s">
        <v>970</v>
      </c>
      <c r="Q179" t="s">
        <v>644</v>
      </c>
      <c r="R179">
        <v>55500</v>
      </c>
      <c r="S179">
        <v>20100</v>
      </c>
    </row>
    <row r="180" spans="1:19" x14ac:dyDescent="0.25">
      <c r="A180" t="s">
        <v>392</v>
      </c>
      <c r="B180" s="37">
        <v>45855</v>
      </c>
      <c r="C180" t="s">
        <v>63</v>
      </c>
      <c r="D180" t="s">
        <v>64</v>
      </c>
      <c r="E180" t="s">
        <v>34</v>
      </c>
      <c r="F180" t="s">
        <v>72</v>
      </c>
      <c r="G180" t="s">
        <v>47</v>
      </c>
      <c r="H180">
        <v>1</v>
      </c>
      <c r="I180">
        <v>46000</v>
      </c>
      <c r="J180">
        <v>39000</v>
      </c>
      <c r="K180">
        <v>0.05</v>
      </c>
      <c r="L180">
        <v>2</v>
      </c>
      <c r="M180" t="s">
        <v>208</v>
      </c>
      <c r="N180">
        <v>50000</v>
      </c>
      <c r="O180" t="s">
        <v>63</v>
      </c>
      <c r="P180" t="s">
        <v>718</v>
      </c>
      <c r="Q180" t="s">
        <v>644</v>
      </c>
      <c r="R180">
        <v>43700</v>
      </c>
      <c r="S180">
        <v>4700</v>
      </c>
    </row>
    <row r="181" spans="1:19" x14ac:dyDescent="0.25">
      <c r="A181" t="s">
        <v>340</v>
      </c>
      <c r="B181" s="37">
        <v>45821</v>
      </c>
      <c r="C181" t="s">
        <v>39</v>
      </c>
      <c r="D181" t="s">
        <v>40</v>
      </c>
      <c r="E181" t="s">
        <v>75</v>
      </c>
      <c r="F181" t="s">
        <v>72</v>
      </c>
      <c r="G181" t="s">
        <v>47</v>
      </c>
      <c r="H181">
        <v>1</v>
      </c>
      <c r="I181">
        <v>46000</v>
      </c>
      <c r="J181">
        <v>39000</v>
      </c>
      <c r="K181">
        <v>0</v>
      </c>
      <c r="L181">
        <v>2</v>
      </c>
      <c r="M181" t="s">
        <v>237</v>
      </c>
      <c r="N181">
        <v>50000</v>
      </c>
      <c r="O181" t="s">
        <v>39</v>
      </c>
      <c r="P181" t="s">
        <v>1007</v>
      </c>
      <c r="Q181" t="s">
        <v>644</v>
      </c>
      <c r="R181">
        <v>46000</v>
      </c>
      <c r="S181">
        <v>7000</v>
      </c>
    </row>
    <row r="182" spans="1:19" x14ac:dyDescent="0.25">
      <c r="A182" t="s">
        <v>391</v>
      </c>
      <c r="B182" s="37">
        <v>45855</v>
      </c>
      <c r="C182" t="s">
        <v>54</v>
      </c>
      <c r="D182" t="s">
        <v>55</v>
      </c>
      <c r="E182" t="s">
        <v>56</v>
      </c>
      <c r="F182" t="s">
        <v>46</v>
      </c>
      <c r="G182" t="s">
        <v>47</v>
      </c>
      <c r="H182">
        <v>5</v>
      </c>
      <c r="I182">
        <v>9800</v>
      </c>
      <c r="J182">
        <v>7600</v>
      </c>
      <c r="K182">
        <v>0</v>
      </c>
      <c r="L182">
        <v>2</v>
      </c>
      <c r="M182" t="s">
        <v>205</v>
      </c>
      <c r="N182">
        <v>50000</v>
      </c>
      <c r="O182" t="s">
        <v>54</v>
      </c>
      <c r="P182" t="s">
        <v>1052</v>
      </c>
      <c r="Q182" t="s">
        <v>644</v>
      </c>
      <c r="R182">
        <v>49000</v>
      </c>
      <c r="S182">
        <v>11000</v>
      </c>
    </row>
    <row r="183" spans="1:19" x14ac:dyDescent="0.25">
      <c r="A183" t="s">
        <v>343</v>
      </c>
      <c r="B183" s="37">
        <v>45823</v>
      </c>
      <c r="C183" t="s">
        <v>32</v>
      </c>
      <c r="D183" t="s">
        <v>83</v>
      </c>
      <c r="E183" t="s">
        <v>75</v>
      </c>
      <c r="F183" t="s">
        <v>72</v>
      </c>
      <c r="G183" t="s">
        <v>47</v>
      </c>
      <c r="H183">
        <v>1</v>
      </c>
      <c r="I183">
        <v>46000</v>
      </c>
      <c r="J183">
        <v>39000</v>
      </c>
      <c r="K183">
        <v>0</v>
      </c>
      <c r="L183">
        <v>2</v>
      </c>
      <c r="M183" t="s">
        <v>344</v>
      </c>
      <c r="N183">
        <v>500000</v>
      </c>
      <c r="O183" t="s">
        <v>32</v>
      </c>
      <c r="P183" t="s">
        <v>1090</v>
      </c>
      <c r="Q183" t="s">
        <v>644</v>
      </c>
      <c r="R183">
        <v>46000</v>
      </c>
      <c r="S183">
        <v>7000</v>
      </c>
    </row>
    <row r="184" spans="1:19" x14ac:dyDescent="0.25">
      <c r="A184" t="s">
        <v>389</v>
      </c>
      <c r="B184" s="37">
        <v>45853</v>
      </c>
      <c r="C184" t="s">
        <v>43</v>
      </c>
      <c r="D184" t="s">
        <v>44</v>
      </c>
      <c r="E184" t="s">
        <v>34</v>
      </c>
      <c r="F184" t="s">
        <v>57</v>
      </c>
      <c r="G184" t="s">
        <v>51</v>
      </c>
      <c r="H184">
        <v>2</v>
      </c>
      <c r="I184">
        <v>27500</v>
      </c>
      <c r="J184">
        <v>16500</v>
      </c>
      <c r="K184">
        <v>0</v>
      </c>
      <c r="L184">
        <v>7</v>
      </c>
      <c r="M184" t="s">
        <v>188</v>
      </c>
      <c r="N184">
        <v>500000</v>
      </c>
      <c r="O184" t="s">
        <v>43</v>
      </c>
      <c r="P184" t="s">
        <v>689</v>
      </c>
      <c r="Q184" t="s">
        <v>644</v>
      </c>
      <c r="R184">
        <v>55000</v>
      </c>
      <c r="S184">
        <v>22000</v>
      </c>
    </row>
    <row r="185" spans="1:19" x14ac:dyDescent="0.25">
      <c r="A185" t="s">
        <v>346</v>
      </c>
      <c r="B185" s="37">
        <v>45824</v>
      </c>
      <c r="C185" t="s">
        <v>63</v>
      </c>
      <c r="D185" t="s">
        <v>64</v>
      </c>
      <c r="E185" t="s">
        <v>45</v>
      </c>
      <c r="F185" t="s">
        <v>101</v>
      </c>
      <c r="G185" t="s">
        <v>61</v>
      </c>
      <c r="H185">
        <v>1</v>
      </c>
      <c r="I185">
        <v>28000</v>
      </c>
      <c r="J185">
        <v>18500</v>
      </c>
      <c r="K185">
        <v>0</v>
      </c>
      <c r="L185">
        <v>3</v>
      </c>
      <c r="M185" t="s">
        <v>347</v>
      </c>
      <c r="N185">
        <v>250000</v>
      </c>
      <c r="O185" t="s">
        <v>63</v>
      </c>
      <c r="P185" t="s">
        <v>926</v>
      </c>
      <c r="Q185" t="s">
        <v>644</v>
      </c>
      <c r="R185">
        <v>28000</v>
      </c>
      <c r="S185">
        <v>9500</v>
      </c>
    </row>
    <row r="186" spans="1:19" x14ac:dyDescent="0.25">
      <c r="A186" t="s">
        <v>388</v>
      </c>
      <c r="B186" s="37">
        <v>45853</v>
      </c>
      <c r="C186" t="s">
        <v>43</v>
      </c>
      <c r="D186" t="s">
        <v>44</v>
      </c>
      <c r="E186" t="s">
        <v>75</v>
      </c>
      <c r="F186" t="s">
        <v>69</v>
      </c>
      <c r="G186" t="s">
        <v>66</v>
      </c>
      <c r="H186">
        <v>1</v>
      </c>
      <c r="I186">
        <v>32000</v>
      </c>
      <c r="J186">
        <v>21000</v>
      </c>
      <c r="K186">
        <v>0</v>
      </c>
      <c r="L186">
        <v>2</v>
      </c>
      <c r="M186" t="s">
        <v>195</v>
      </c>
      <c r="N186">
        <v>250000</v>
      </c>
      <c r="O186" t="s">
        <v>43</v>
      </c>
      <c r="P186" t="s">
        <v>682</v>
      </c>
      <c r="Q186" t="s">
        <v>644</v>
      </c>
      <c r="R186">
        <v>32000</v>
      </c>
      <c r="S186">
        <v>11000</v>
      </c>
    </row>
    <row r="187" spans="1:19" x14ac:dyDescent="0.25">
      <c r="A187" t="s">
        <v>349</v>
      </c>
      <c r="B187" s="37">
        <v>45827</v>
      </c>
      <c r="C187" t="s">
        <v>32</v>
      </c>
      <c r="D187" t="s">
        <v>83</v>
      </c>
      <c r="E187" t="s">
        <v>34</v>
      </c>
      <c r="F187" t="s">
        <v>35</v>
      </c>
      <c r="G187" t="s">
        <v>36</v>
      </c>
      <c r="H187">
        <v>3</v>
      </c>
      <c r="I187">
        <v>18500</v>
      </c>
      <c r="J187">
        <v>11800</v>
      </c>
      <c r="K187">
        <v>0</v>
      </c>
      <c r="L187">
        <v>1</v>
      </c>
      <c r="M187" t="s">
        <v>233</v>
      </c>
      <c r="N187">
        <v>150000</v>
      </c>
      <c r="O187" t="s">
        <v>32</v>
      </c>
      <c r="P187" t="s">
        <v>855</v>
      </c>
      <c r="Q187" t="s">
        <v>644</v>
      </c>
      <c r="R187">
        <v>55500</v>
      </c>
      <c r="S187">
        <v>20100</v>
      </c>
    </row>
    <row r="188" spans="1:19" x14ac:dyDescent="0.25">
      <c r="A188" t="s">
        <v>387</v>
      </c>
      <c r="B188" s="37">
        <v>45853</v>
      </c>
      <c r="C188" t="s">
        <v>39</v>
      </c>
      <c r="D188" t="s">
        <v>40</v>
      </c>
      <c r="E188" t="s">
        <v>75</v>
      </c>
      <c r="F188" t="s">
        <v>101</v>
      </c>
      <c r="G188" t="s">
        <v>61</v>
      </c>
      <c r="H188">
        <v>1</v>
      </c>
      <c r="I188">
        <v>28000</v>
      </c>
      <c r="J188">
        <v>18500</v>
      </c>
      <c r="K188">
        <v>0</v>
      </c>
      <c r="L188">
        <v>4</v>
      </c>
      <c r="M188" t="s">
        <v>210</v>
      </c>
      <c r="N188">
        <v>250000</v>
      </c>
      <c r="O188" t="s">
        <v>39</v>
      </c>
      <c r="P188" t="s">
        <v>660</v>
      </c>
      <c r="Q188" t="s">
        <v>644</v>
      </c>
      <c r="R188">
        <v>28000</v>
      </c>
      <c r="S188">
        <v>9500</v>
      </c>
    </row>
    <row r="189" spans="1:19" x14ac:dyDescent="0.25">
      <c r="A189" t="s">
        <v>386</v>
      </c>
      <c r="B189" s="37">
        <v>45852</v>
      </c>
      <c r="C189" t="s">
        <v>54</v>
      </c>
      <c r="D189" t="s">
        <v>55</v>
      </c>
      <c r="E189" t="s">
        <v>34</v>
      </c>
      <c r="F189" t="s">
        <v>69</v>
      </c>
      <c r="G189" t="s">
        <v>66</v>
      </c>
      <c r="H189">
        <v>2</v>
      </c>
      <c r="I189">
        <v>32000</v>
      </c>
      <c r="J189">
        <v>21000</v>
      </c>
      <c r="K189">
        <v>0</v>
      </c>
      <c r="L189">
        <v>1</v>
      </c>
      <c r="M189" t="s">
        <v>140</v>
      </c>
      <c r="N189">
        <v>250000</v>
      </c>
      <c r="O189" t="s">
        <v>54</v>
      </c>
      <c r="P189" t="s">
        <v>844</v>
      </c>
      <c r="Q189" t="s">
        <v>644</v>
      </c>
      <c r="R189">
        <v>64000</v>
      </c>
      <c r="S189">
        <v>22000</v>
      </c>
    </row>
    <row r="190" spans="1:19" x14ac:dyDescent="0.25">
      <c r="A190" t="s">
        <v>352</v>
      </c>
      <c r="B190" s="37">
        <v>45829</v>
      </c>
      <c r="C190" t="s">
        <v>43</v>
      </c>
      <c r="D190" t="s">
        <v>44</v>
      </c>
      <c r="E190" t="s">
        <v>45</v>
      </c>
      <c r="F190" t="s">
        <v>57</v>
      </c>
      <c r="G190" t="s">
        <v>51</v>
      </c>
      <c r="H190">
        <v>2</v>
      </c>
      <c r="I190">
        <v>27500</v>
      </c>
      <c r="J190">
        <v>16500</v>
      </c>
      <c r="K190">
        <v>0.05</v>
      </c>
      <c r="L190">
        <v>4</v>
      </c>
      <c r="M190" t="s">
        <v>157</v>
      </c>
      <c r="N190">
        <v>150000</v>
      </c>
      <c r="O190" t="s">
        <v>43</v>
      </c>
      <c r="P190" t="s">
        <v>1135</v>
      </c>
      <c r="Q190" t="s">
        <v>644</v>
      </c>
      <c r="R190">
        <v>52250</v>
      </c>
      <c r="S190">
        <v>19250</v>
      </c>
    </row>
    <row r="191" spans="1:19" x14ac:dyDescent="0.25">
      <c r="A191" t="s">
        <v>384</v>
      </c>
      <c r="B191" s="37">
        <v>45850</v>
      </c>
      <c r="C191" t="s">
        <v>43</v>
      </c>
      <c r="D191" t="s">
        <v>44</v>
      </c>
      <c r="E191" t="s">
        <v>75</v>
      </c>
      <c r="F191" t="s">
        <v>88</v>
      </c>
      <c r="G191" t="s">
        <v>89</v>
      </c>
      <c r="H191">
        <v>2</v>
      </c>
      <c r="I191">
        <v>6800</v>
      </c>
      <c r="J191">
        <v>3900</v>
      </c>
      <c r="K191">
        <v>0</v>
      </c>
      <c r="L191">
        <v>5</v>
      </c>
      <c r="M191" t="s">
        <v>385</v>
      </c>
      <c r="N191">
        <v>250000</v>
      </c>
      <c r="O191" t="s">
        <v>43</v>
      </c>
      <c r="P191" t="s">
        <v>906</v>
      </c>
      <c r="Q191" t="s">
        <v>644</v>
      </c>
      <c r="R191">
        <v>13600</v>
      </c>
      <c r="S191">
        <v>5800</v>
      </c>
    </row>
    <row r="192" spans="1:19" x14ac:dyDescent="0.25">
      <c r="A192" t="s">
        <v>354</v>
      </c>
      <c r="B192" s="37">
        <v>45830</v>
      </c>
      <c r="C192" t="s">
        <v>54</v>
      </c>
      <c r="D192" t="s">
        <v>55</v>
      </c>
      <c r="E192" t="s">
        <v>75</v>
      </c>
      <c r="F192" t="s">
        <v>60</v>
      </c>
      <c r="G192" t="s">
        <v>61</v>
      </c>
      <c r="H192">
        <v>4</v>
      </c>
      <c r="I192">
        <v>12000</v>
      </c>
      <c r="J192">
        <v>7200</v>
      </c>
      <c r="K192">
        <v>0</v>
      </c>
      <c r="L192">
        <v>3</v>
      </c>
      <c r="M192" t="s">
        <v>355</v>
      </c>
      <c r="N192">
        <v>50000</v>
      </c>
      <c r="O192" t="s">
        <v>54</v>
      </c>
      <c r="P192" t="s">
        <v>1003</v>
      </c>
      <c r="Q192" t="s">
        <v>644</v>
      </c>
      <c r="R192">
        <v>48000</v>
      </c>
      <c r="S192">
        <v>19200</v>
      </c>
    </row>
    <row r="193" spans="1:19" x14ac:dyDescent="0.25">
      <c r="A193" t="s">
        <v>383</v>
      </c>
      <c r="B193" s="37">
        <v>45848</v>
      </c>
      <c r="C193" t="s">
        <v>54</v>
      </c>
      <c r="D193" t="s">
        <v>55</v>
      </c>
      <c r="E193" t="s">
        <v>75</v>
      </c>
      <c r="F193" t="s">
        <v>72</v>
      </c>
      <c r="G193" t="s">
        <v>47</v>
      </c>
      <c r="H193">
        <v>1</v>
      </c>
      <c r="I193">
        <v>46000</v>
      </c>
      <c r="J193">
        <v>39000</v>
      </c>
      <c r="K193">
        <v>0</v>
      </c>
      <c r="L193">
        <v>2</v>
      </c>
      <c r="M193" t="s">
        <v>355</v>
      </c>
      <c r="N193">
        <v>50000</v>
      </c>
      <c r="O193" t="s">
        <v>54</v>
      </c>
      <c r="P193" t="s">
        <v>1003</v>
      </c>
      <c r="Q193" t="s">
        <v>644</v>
      </c>
      <c r="R193">
        <v>46000</v>
      </c>
      <c r="S193">
        <v>7000</v>
      </c>
    </row>
    <row r="194" spans="1:19" x14ac:dyDescent="0.25">
      <c r="A194" t="s">
        <v>381</v>
      </c>
      <c r="B194" s="37">
        <v>45848</v>
      </c>
      <c r="C194" t="s">
        <v>32</v>
      </c>
      <c r="D194" t="s">
        <v>33</v>
      </c>
      <c r="E194" t="s">
        <v>75</v>
      </c>
      <c r="F194" t="s">
        <v>199</v>
      </c>
      <c r="G194" t="s">
        <v>36</v>
      </c>
      <c r="H194">
        <v>1</v>
      </c>
      <c r="I194">
        <v>15500</v>
      </c>
      <c r="J194">
        <v>9900</v>
      </c>
      <c r="K194">
        <v>0</v>
      </c>
      <c r="L194">
        <v>1</v>
      </c>
      <c r="M194" t="s">
        <v>138</v>
      </c>
      <c r="N194">
        <v>250000</v>
      </c>
      <c r="O194" t="s">
        <v>32</v>
      </c>
      <c r="P194" t="s">
        <v>1052</v>
      </c>
      <c r="Q194" t="s">
        <v>644</v>
      </c>
      <c r="R194">
        <v>15500</v>
      </c>
      <c r="S194">
        <v>5600</v>
      </c>
    </row>
    <row r="195" spans="1:19" x14ac:dyDescent="0.25">
      <c r="A195" t="s">
        <v>379</v>
      </c>
      <c r="B195" s="37">
        <v>45845</v>
      </c>
      <c r="C195" t="s">
        <v>43</v>
      </c>
      <c r="D195" t="s">
        <v>44</v>
      </c>
      <c r="E195" t="s">
        <v>75</v>
      </c>
      <c r="F195" t="s">
        <v>72</v>
      </c>
      <c r="G195" t="s">
        <v>47</v>
      </c>
      <c r="H195">
        <v>5</v>
      </c>
      <c r="I195">
        <v>46000</v>
      </c>
      <c r="J195">
        <v>39000</v>
      </c>
      <c r="K195">
        <v>0</v>
      </c>
      <c r="L195">
        <v>4</v>
      </c>
      <c r="M195" t="s">
        <v>260</v>
      </c>
      <c r="N195">
        <v>500000</v>
      </c>
      <c r="O195" t="s">
        <v>43</v>
      </c>
      <c r="P195" t="s">
        <v>1081</v>
      </c>
      <c r="Q195" t="s">
        <v>644</v>
      </c>
      <c r="R195">
        <v>230000</v>
      </c>
      <c r="S195">
        <v>35000</v>
      </c>
    </row>
    <row r="196" spans="1:19" x14ac:dyDescent="0.25">
      <c r="A196" t="s">
        <v>377</v>
      </c>
      <c r="B196" s="37">
        <v>45842</v>
      </c>
      <c r="C196" t="s">
        <v>43</v>
      </c>
      <c r="D196" t="s">
        <v>44</v>
      </c>
      <c r="E196" t="s">
        <v>75</v>
      </c>
      <c r="F196" t="s">
        <v>72</v>
      </c>
      <c r="G196" t="s">
        <v>47</v>
      </c>
      <c r="H196">
        <v>5</v>
      </c>
      <c r="I196">
        <v>46000</v>
      </c>
      <c r="J196">
        <v>39000</v>
      </c>
      <c r="K196">
        <v>0</v>
      </c>
      <c r="L196">
        <v>3</v>
      </c>
      <c r="M196" t="s">
        <v>52</v>
      </c>
      <c r="N196">
        <v>500000</v>
      </c>
      <c r="O196" t="s">
        <v>43</v>
      </c>
      <c r="P196" t="s">
        <v>922</v>
      </c>
      <c r="Q196" t="s">
        <v>644</v>
      </c>
      <c r="R196">
        <v>230000</v>
      </c>
      <c r="S196">
        <v>35000</v>
      </c>
    </row>
    <row r="197" spans="1:19" x14ac:dyDescent="0.25">
      <c r="A197" t="s">
        <v>360</v>
      </c>
      <c r="B197" s="37">
        <v>45834</v>
      </c>
      <c r="C197" t="s">
        <v>32</v>
      </c>
      <c r="D197" t="s">
        <v>83</v>
      </c>
      <c r="E197" t="s">
        <v>45</v>
      </c>
      <c r="F197" t="s">
        <v>199</v>
      </c>
      <c r="G197" t="s">
        <v>36</v>
      </c>
      <c r="H197">
        <v>8</v>
      </c>
      <c r="I197">
        <v>15500</v>
      </c>
      <c r="J197">
        <v>9900</v>
      </c>
      <c r="K197">
        <v>0</v>
      </c>
      <c r="L197">
        <v>3</v>
      </c>
      <c r="M197" t="s">
        <v>121</v>
      </c>
      <c r="N197">
        <v>50000</v>
      </c>
      <c r="O197" t="s">
        <v>32</v>
      </c>
      <c r="P197" t="s">
        <v>935</v>
      </c>
      <c r="Q197" t="s">
        <v>644</v>
      </c>
      <c r="R197">
        <v>124000</v>
      </c>
      <c r="S197">
        <v>44800</v>
      </c>
    </row>
    <row r="198" spans="1:19" x14ac:dyDescent="0.25">
      <c r="A198" t="s">
        <v>374</v>
      </c>
      <c r="B198" s="37">
        <v>45841</v>
      </c>
      <c r="C198" t="s">
        <v>32</v>
      </c>
      <c r="D198" t="s">
        <v>83</v>
      </c>
      <c r="E198" t="s">
        <v>34</v>
      </c>
      <c r="F198" t="s">
        <v>72</v>
      </c>
      <c r="G198" t="s">
        <v>47</v>
      </c>
      <c r="H198">
        <v>2</v>
      </c>
      <c r="I198">
        <v>46000</v>
      </c>
      <c r="J198">
        <v>39000</v>
      </c>
      <c r="K198">
        <v>0</v>
      </c>
      <c r="L198">
        <v>1</v>
      </c>
      <c r="M198" t="s">
        <v>375</v>
      </c>
      <c r="N198">
        <v>50000</v>
      </c>
      <c r="O198" t="s">
        <v>32</v>
      </c>
      <c r="P198" t="s">
        <v>745</v>
      </c>
      <c r="Q198" t="s">
        <v>644</v>
      </c>
      <c r="R198">
        <v>92000</v>
      </c>
      <c r="S198">
        <v>14000</v>
      </c>
    </row>
    <row r="199" spans="1:19" x14ac:dyDescent="0.25">
      <c r="A199" t="s">
        <v>362</v>
      </c>
      <c r="B199" s="37">
        <v>45836</v>
      </c>
      <c r="C199" t="s">
        <v>32</v>
      </c>
      <c r="D199" t="s">
        <v>83</v>
      </c>
      <c r="E199" t="s">
        <v>45</v>
      </c>
      <c r="F199" t="s">
        <v>35</v>
      </c>
      <c r="G199" t="s">
        <v>36</v>
      </c>
      <c r="H199">
        <v>3</v>
      </c>
      <c r="I199">
        <v>18500</v>
      </c>
      <c r="J199">
        <v>11800</v>
      </c>
      <c r="K199">
        <v>0</v>
      </c>
      <c r="L199">
        <v>1</v>
      </c>
      <c r="M199" t="s">
        <v>229</v>
      </c>
      <c r="N199">
        <v>500000</v>
      </c>
      <c r="O199" t="s">
        <v>32</v>
      </c>
      <c r="P199" t="s">
        <v>943</v>
      </c>
      <c r="Q199" t="s">
        <v>644</v>
      </c>
      <c r="R199">
        <v>55500</v>
      </c>
      <c r="S199">
        <v>20100</v>
      </c>
    </row>
    <row r="200" spans="1:19" x14ac:dyDescent="0.25">
      <c r="A200" t="s">
        <v>363</v>
      </c>
      <c r="B200" s="37">
        <v>45836</v>
      </c>
      <c r="C200" t="s">
        <v>63</v>
      </c>
      <c r="D200" t="s">
        <v>64</v>
      </c>
      <c r="E200" t="s">
        <v>75</v>
      </c>
      <c r="F200" t="s">
        <v>35</v>
      </c>
      <c r="G200" t="s">
        <v>36</v>
      </c>
      <c r="H200">
        <v>10</v>
      </c>
      <c r="I200">
        <v>18500</v>
      </c>
      <c r="J200">
        <v>11800</v>
      </c>
      <c r="K200">
        <v>0</v>
      </c>
      <c r="L200">
        <v>3</v>
      </c>
      <c r="M200" t="s">
        <v>364</v>
      </c>
      <c r="N200">
        <v>50000</v>
      </c>
      <c r="O200" t="s">
        <v>63</v>
      </c>
      <c r="P200" t="s">
        <v>826</v>
      </c>
      <c r="Q200" t="s">
        <v>644</v>
      </c>
      <c r="R200">
        <v>185000</v>
      </c>
      <c r="S200">
        <v>67000</v>
      </c>
    </row>
    <row r="201" spans="1:19" x14ac:dyDescent="0.25">
      <c r="A201" t="s">
        <v>372</v>
      </c>
      <c r="B201" s="37">
        <v>45840</v>
      </c>
      <c r="C201" t="s">
        <v>39</v>
      </c>
      <c r="D201" t="s">
        <v>40</v>
      </c>
      <c r="E201" t="s">
        <v>45</v>
      </c>
      <c r="F201" t="s">
        <v>60</v>
      </c>
      <c r="G201" t="s">
        <v>61</v>
      </c>
      <c r="H201">
        <v>1</v>
      </c>
      <c r="I201">
        <v>12000</v>
      </c>
      <c r="J201">
        <v>7200</v>
      </c>
      <c r="K201">
        <v>0</v>
      </c>
      <c r="L201">
        <v>2</v>
      </c>
      <c r="M201" t="s">
        <v>373</v>
      </c>
      <c r="N201">
        <v>500000</v>
      </c>
      <c r="O201" t="s">
        <v>39</v>
      </c>
      <c r="P201" t="s">
        <v>647</v>
      </c>
      <c r="Q201" t="s">
        <v>644</v>
      </c>
      <c r="R201">
        <v>12000</v>
      </c>
      <c r="S201">
        <v>4800</v>
      </c>
    </row>
    <row r="202" spans="1:19" x14ac:dyDescent="0.25">
      <c r="A202" t="s">
        <v>366</v>
      </c>
      <c r="B202" s="37">
        <v>45837</v>
      </c>
      <c r="C202" t="s">
        <v>32</v>
      </c>
      <c r="D202" t="s">
        <v>33</v>
      </c>
      <c r="E202" t="s">
        <v>45</v>
      </c>
      <c r="F202" t="s">
        <v>78</v>
      </c>
      <c r="G202" t="s">
        <v>36</v>
      </c>
      <c r="H202">
        <v>1</v>
      </c>
      <c r="I202">
        <v>22000</v>
      </c>
      <c r="J202">
        <v>13800</v>
      </c>
      <c r="K202">
        <v>0.1</v>
      </c>
      <c r="L202">
        <v>2</v>
      </c>
      <c r="M202" t="s">
        <v>169</v>
      </c>
      <c r="N202">
        <v>100000</v>
      </c>
      <c r="O202" t="s">
        <v>32</v>
      </c>
      <c r="P202" t="s">
        <v>1073</v>
      </c>
      <c r="Q202" t="s">
        <v>644</v>
      </c>
      <c r="R202">
        <v>19800</v>
      </c>
      <c r="S202">
        <v>6000</v>
      </c>
    </row>
    <row r="203" spans="1:19" x14ac:dyDescent="0.25">
      <c r="A203" t="s">
        <v>371</v>
      </c>
      <c r="B203" s="37">
        <v>45840</v>
      </c>
      <c r="C203" t="s">
        <v>39</v>
      </c>
      <c r="D203" t="s">
        <v>40</v>
      </c>
      <c r="E203" t="s">
        <v>45</v>
      </c>
      <c r="F203" t="s">
        <v>60</v>
      </c>
      <c r="G203" t="s">
        <v>61</v>
      </c>
      <c r="H203">
        <v>3</v>
      </c>
      <c r="I203">
        <v>12000</v>
      </c>
      <c r="J203">
        <v>7200</v>
      </c>
      <c r="K203">
        <v>0</v>
      </c>
      <c r="L203">
        <v>3</v>
      </c>
      <c r="M203" t="s">
        <v>245</v>
      </c>
      <c r="N203">
        <v>150000</v>
      </c>
      <c r="O203" t="s">
        <v>39</v>
      </c>
      <c r="P203" t="s">
        <v>966</v>
      </c>
      <c r="Q203" t="s">
        <v>644</v>
      </c>
      <c r="R203">
        <v>36000</v>
      </c>
      <c r="S203">
        <v>14400</v>
      </c>
    </row>
    <row r="204" spans="1:19" x14ac:dyDescent="0.25">
      <c r="A204" t="s">
        <v>370</v>
      </c>
      <c r="B204" s="37">
        <v>45838</v>
      </c>
      <c r="C204" t="s">
        <v>63</v>
      </c>
      <c r="D204" t="s">
        <v>64</v>
      </c>
      <c r="E204" t="s">
        <v>75</v>
      </c>
      <c r="F204" t="s">
        <v>60</v>
      </c>
      <c r="G204" t="s">
        <v>61</v>
      </c>
      <c r="H204">
        <v>4</v>
      </c>
      <c r="I204">
        <v>12000</v>
      </c>
      <c r="J204">
        <v>7200</v>
      </c>
      <c r="K204">
        <v>0</v>
      </c>
      <c r="L204">
        <v>7</v>
      </c>
      <c r="M204" t="s">
        <v>347</v>
      </c>
      <c r="N204">
        <v>250000</v>
      </c>
      <c r="O204" t="s">
        <v>63</v>
      </c>
      <c r="P204" t="s">
        <v>926</v>
      </c>
      <c r="Q204" t="s">
        <v>644</v>
      </c>
      <c r="R204">
        <v>48000</v>
      </c>
      <c r="S204">
        <v>19200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8A17-62C8-4B43-BBCD-06DF522D2F1F}">
  <dimension ref="A1:E6"/>
  <sheetViews>
    <sheetView workbookViewId="0">
      <selection activeCell="A9" sqref="A9"/>
    </sheetView>
  </sheetViews>
  <sheetFormatPr defaultRowHeight="15" x14ac:dyDescent="0.25"/>
  <cols>
    <col min="1" max="1" width="18.42578125" bestFit="1" customWidth="1"/>
    <col min="2" max="2" width="15.140625" bestFit="1" customWidth="1"/>
    <col min="3" max="3" width="17" bestFit="1" customWidth="1"/>
    <col min="4" max="4" width="8" bestFit="1" customWidth="1"/>
    <col min="5" max="5" width="9.5703125" bestFit="1" customWidth="1"/>
    <col min="6" max="7" width="8" bestFit="1" customWidth="1"/>
    <col min="8" max="8" width="11.28515625" bestFit="1" customWidth="1"/>
    <col min="9" max="9" width="8" bestFit="1" customWidth="1"/>
    <col min="10" max="10" width="11.28515625" bestFit="1" customWidth="1"/>
  </cols>
  <sheetData>
    <row r="1" spans="1:5" x14ac:dyDescent="0.25">
      <c r="A1" s="35" t="s">
        <v>1166</v>
      </c>
      <c r="B1" t="s">
        <v>1169</v>
      </c>
      <c r="C1" t="s">
        <v>1170</v>
      </c>
      <c r="E1">
        <v>1</v>
      </c>
    </row>
    <row r="2" spans="1:5" x14ac:dyDescent="0.25">
      <c r="A2" s="36" t="s">
        <v>716</v>
      </c>
      <c r="B2" s="60">
        <v>5434670</v>
      </c>
      <c r="C2" s="60">
        <v>1842370</v>
      </c>
    </row>
    <row r="3" spans="1:5" x14ac:dyDescent="0.25">
      <c r="A3" s="36" t="s">
        <v>644</v>
      </c>
      <c r="B3" s="60">
        <v>15012155</v>
      </c>
      <c r="C3" s="60">
        <v>4564955</v>
      </c>
    </row>
    <row r="4" spans="1:5" x14ac:dyDescent="0.25">
      <c r="A4" s="36" t="s">
        <v>1167</v>
      </c>
      <c r="B4" s="60">
        <v>489000</v>
      </c>
      <c r="C4" s="60">
        <v>152000</v>
      </c>
    </row>
    <row r="5" spans="1:5" x14ac:dyDescent="0.25">
      <c r="A5" s="36" t="s">
        <v>657</v>
      </c>
      <c r="B5" s="60">
        <v>10559100</v>
      </c>
      <c r="C5" s="60">
        <v>3217000</v>
      </c>
    </row>
    <row r="6" spans="1:5" x14ac:dyDescent="0.25">
      <c r="A6" s="36" t="s">
        <v>1168</v>
      </c>
      <c r="B6" s="60">
        <v>31494925</v>
      </c>
      <c r="C6" s="60">
        <v>9776325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8C31-3516-421B-ABF3-A8210CBD8C17}">
  <dimension ref="A1:J8"/>
  <sheetViews>
    <sheetView workbookViewId="0">
      <selection activeCell="O14" sqref="O14"/>
    </sheetView>
  </sheetViews>
  <sheetFormatPr defaultRowHeight="15" x14ac:dyDescent="0.25"/>
  <cols>
    <col min="1" max="1" width="15.140625" bestFit="1" customWidth="1"/>
    <col min="2" max="2" width="16.28515625" bestFit="1" customWidth="1"/>
    <col min="3" max="3" width="10.5703125" bestFit="1" customWidth="1"/>
    <col min="4" max="4" width="8" bestFit="1" customWidth="1"/>
    <col min="5" max="5" width="9.5703125" bestFit="1" customWidth="1"/>
    <col min="6" max="7" width="8" bestFit="1" customWidth="1"/>
    <col min="8" max="9" width="11.28515625" bestFit="1" customWidth="1"/>
  </cols>
  <sheetData>
    <row r="1" spans="1:10" x14ac:dyDescent="0.25">
      <c r="A1" s="35" t="s">
        <v>1169</v>
      </c>
      <c r="B1" s="35" t="s">
        <v>1171</v>
      </c>
      <c r="J1">
        <v>2</v>
      </c>
    </row>
    <row r="2" spans="1:10" x14ac:dyDescent="0.25">
      <c r="A2" s="35" t="s">
        <v>1166</v>
      </c>
      <c r="B2" t="s">
        <v>89</v>
      </c>
      <c r="C2" t="s">
        <v>36</v>
      </c>
      <c r="D2" t="s">
        <v>51</v>
      </c>
      <c r="E2" t="s">
        <v>47</v>
      </c>
      <c r="F2" t="s">
        <v>66</v>
      </c>
      <c r="G2" t="s">
        <v>61</v>
      </c>
      <c r="H2" t="s">
        <v>1168</v>
      </c>
    </row>
    <row r="3" spans="1:10" x14ac:dyDescent="0.25">
      <c r="A3" s="36" t="s">
        <v>43</v>
      </c>
      <c r="B3">
        <v>285600</v>
      </c>
      <c r="C3">
        <v>836900</v>
      </c>
      <c r="D3">
        <v>1913625</v>
      </c>
      <c r="E3">
        <v>2057620</v>
      </c>
      <c r="F3">
        <v>422400</v>
      </c>
      <c r="G3">
        <v>428000</v>
      </c>
      <c r="H3">
        <v>5944145</v>
      </c>
    </row>
    <row r="4" spans="1:10" x14ac:dyDescent="0.25">
      <c r="A4" s="36" t="s">
        <v>39</v>
      </c>
      <c r="C4">
        <v>1257300</v>
      </c>
      <c r="D4">
        <v>723750</v>
      </c>
      <c r="E4">
        <v>1023200</v>
      </c>
      <c r="F4">
        <v>404800</v>
      </c>
      <c r="G4">
        <v>914600</v>
      </c>
      <c r="H4">
        <v>4323650</v>
      </c>
    </row>
    <row r="5" spans="1:10" x14ac:dyDescent="0.25">
      <c r="A5" s="36" t="s">
        <v>63</v>
      </c>
      <c r="B5">
        <v>13600</v>
      </c>
      <c r="C5">
        <v>1174900</v>
      </c>
      <c r="D5">
        <v>650150</v>
      </c>
      <c r="E5">
        <v>837500</v>
      </c>
      <c r="F5">
        <v>832000</v>
      </c>
      <c r="G5">
        <v>297200</v>
      </c>
      <c r="H5">
        <v>3805350</v>
      </c>
    </row>
    <row r="6" spans="1:10" x14ac:dyDescent="0.25">
      <c r="A6" s="36" t="s">
        <v>32</v>
      </c>
      <c r="B6">
        <v>321980</v>
      </c>
      <c r="C6">
        <v>2413875</v>
      </c>
      <c r="D6">
        <v>3068250</v>
      </c>
      <c r="E6">
        <v>3188240</v>
      </c>
      <c r="F6">
        <v>1803200</v>
      </c>
      <c r="G6">
        <v>1462000</v>
      </c>
      <c r="H6">
        <v>12257545</v>
      </c>
    </row>
    <row r="7" spans="1:10" x14ac:dyDescent="0.25">
      <c r="A7" s="36" t="s">
        <v>54</v>
      </c>
      <c r="B7">
        <v>61200</v>
      </c>
      <c r="C7">
        <v>717350</v>
      </c>
      <c r="D7">
        <v>1663625</v>
      </c>
      <c r="E7">
        <v>1328660</v>
      </c>
      <c r="F7">
        <v>579200</v>
      </c>
      <c r="G7">
        <v>814200</v>
      </c>
      <c r="H7">
        <v>5164235</v>
      </c>
    </row>
    <row r="8" spans="1:10" x14ac:dyDescent="0.25">
      <c r="A8" s="36" t="s">
        <v>1168</v>
      </c>
      <c r="B8">
        <v>682380</v>
      </c>
      <c r="C8">
        <v>6400325</v>
      </c>
      <c r="D8">
        <v>8019400</v>
      </c>
      <c r="E8">
        <v>8435220</v>
      </c>
      <c r="F8">
        <v>4041600</v>
      </c>
      <c r="G8">
        <v>3916000</v>
      </c>
      <c r="H8">
        <v>31494925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C370-79EB-487F-968F-E87CFEA13CE7}">
  <dimension ref="A1:D12"/>
  <sheetViews>
    <sheetView workbookViewId="0">
      <selection activeCell="F11" sqref="F11"/>
    </sheetView>
  </sheetViews>
  <sheetFormatPr defaultRowHeight="15" x14ac:dyDescent="0.25"/>
  <cols>
    <col min="1" max="1" width="21.42578125" bestFit="1" customWidth="1"/>
    <col min="2" max="2" width="17" bestFit="1" customWidth="1"/>
  </cols>
  <sheetData>
    <row r="1" spans="1:4" x14ac:dyDescent="0.25">
      <c r="A1" s="35" t="s">
        <v>1166</v>
      </c>
      <c r="B1" t="s">
        <v>1170</v>
      </c>
      <c r="D1">
        <v>3</v>
      </c>
    </row>
    <row r="2" spans="1:4" x14ac:dyDescent="0.25">
      <c r="A2" s="36" t="s">
        <v>50</v>
      </c>
      <c r="B2">
        <v>1732150</v>
      </c>
    </row>
    <row r="3" spans="1:4" x14ac:dyDescent="0.25">
      <c r="A3" s="36" t="s">
        <v>57</v>
      </c>
      <c r="B3">
        <v>1350250</v>
      </c>
    </row>
    <row r="4" spans="1:4" x14ac:dyDescent="0.25">
      <c r="A4" s="36" t="s">
        <v>72</v>
      </c>
      <c r="B4">
        <v>1104300</v>
      </c>
    </row>
    <row r="5" spans="1:4" x14ac:dyDescent="0.25">
      <c r="A5" s="36" t="s">
        <v>35</v>
      </c>
      <c r="B5">
        <v>1046325</v>
      </c>
    </row>
    <row r="6" spans="1:4" x14ac:dyDescent="0.25">
      <c r="A6" s="36" t="s">
        <v>101</v>
      </c>
      <c r="B6">
        <v>1023700</v>
      </c>
    </row>
    <row r="7" spans="1:4" x14ac:dyDescent="0.25">
      <c r="A7" s="36" t="s">
        <v>78</v>
      </c>
      <c r="B7">
        <v>821300</v>
      </c>
    </row>
    <row r="8" spans="1:4" x14ac:dyDescent="0.25">
      <c r="A8" s="36" t="s">
        <v>69</v>
      </c>
      <c r="B8">
        <v>755400</v>
      </c>
    </row>
    <row r="9" spans="1:4" x14ac:dyDescent="0.25">
      <c r="A9" s="36" t="s">
        <v>65</v>
      </c>
      <c r="B9">
        <v>707700</v>
      </c>
    </row>
    <row r="10" spans="1:4" x14ac:dyDescent="0.25">
      <c r="A10" s="36" t="s">
        <v>199</v>
      </c>
      <c r="B10">
        <v>413800</v>
      </c>
    </row>
    <row r="11" spans="1:4" x14ac:dyDescent="0.25">
      <c r="A11" s="36" t="s">
        <v>60</v>
      </c>
      <c r="B11">
        <v>327600</v>
      </c>
    </row>
    <row r="12" spans="1:4" x14ac:dyDescent="0.25">
      <c r="A12" s="36" t="s">
        <v>1168</v>
      </c>
      <c r="B12">
        <v>9282525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157E-FB67-4D52-A2E6-1BE1E051C2FD}">
  <dimension ref="A1:D14"/>
  <sheetViews>
    <sheetView workbookViewId="0">
      <selection activeCell="A2" sqref="A2:B2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1" spans="1:4" x14ac:dyDescent="0.25">
      <c r="A1" s="35" t="s">
        <v>1166</v>
      </c>
      <c r="B1" t="s">
        <v>1169</v>
      </c>
      <c r="D1">
        <v>4</v>
      </c>
    </row>
    <row r="2" spans="1:4" x14ac:dyDescent="0.25">
      <c r="A2" s="36" t="s">
        <v>1172</v>
      </c>
      <c r="B2">
        <v>2933595</v>
      </c>
    </row>
    <row r="3" spans="1:4" x14ac:dyDescent="0.25">
      <c r="A3" s="36" t="s">
        <v>1173</v>
      </c>
      <c r="B3">
        <v>1782810</v>
      </c>
    </row>
    <row r="4" spans="1:4" x14ac:dyDescent="0.25">
      <c r="A4" s="36" t="s">
        <v>1174</v>
      </c>
      <c r="B4">
        <v>2504700</v>
      </c>
    </row>
    <row r="5" spans="1:4" x14ac:dyDescent="0.25">
      <c r="A5" s="36" t="s">
        <v>1175</v>
      </c>
      <c r="B5">
        <v>3004950</v>
      </c>
    </row>
    <row r="6" spans="1:4" x14ac:dyDescent="0.25">
      <c r="A6" s="36" t="s">
        <v>1176</v>
      </c>
      <c r="B6">
        <v>3064150</v>
      </c>
    </row>
    <row r="7" spans="1:4" x14ac:dyDescent="0.25">
      <c r="A7" s="36" t="s">
        <v>1177</v>
      </c>
      <c r="B7">
        <v>3193850</v>
      </c>
    </row>
    <row r="8" spans="1:4" x14ac:dyDescent="0.25">
      <c r="A8" s="36" t="s">
        <v>1178</v>
      </c>
      <c r="B8">
        <v>2117250</v>
      </c>
    </row>
    <row r="9" spans="1:4" x14ac:dyDescent="0.25">
      <c r="A9" s="36" t="s">
        <v>1179</v>
      </c>
      <c r="B9">
        <v>2738230</v>
      </c>
    </row>
    <row r="10" spans="1:4" x14ac:dyDescent="0.25">
      <c r="A10" s="36" t="s">
        <v>1180</v>
      </c>
      <c r="B10">
        <v>860650</v>
      </c>
    </row>
    <row r="11" spans="1:4" x14ac:dyDescent="0.25">
      <c r="A11" s="36" t="s">
        <v>1181</v>
      </c>
      <c r="B11">
        <v>3174045</v>
      </c>
    </row>
    <row r="12" spans="1:4" x14ac:dyDescent="0.25">
      <c r="A12" s="36" t="s">
        <v>1182</v>
      </c>
      <c r="B12">
        <v>3201295</v>
      </c>
    </row>
    <row r="13" spans="1:4" x14ac:dyDescent="0.25">
      <c r="A13" s="36" t="s">
        <v>1183</v>
      </c>
      <c r="B13">
        <v>2919400</v>
      </c>
    </row>
    <row r="14" spans="1:4" x14ac:dyDescent="0.25">
      <c r="A14" s="36" t="s">
        <v>1168</v>
      </c>
      <c r="B14">
        <v>31494925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9DBB-253F-4488-9A8A-F591EDACAABC}">
  <dimension ref="A1:D12"/>
  <sheetViews>
    <sheetView workbookViewId="0">
      <selection activeCell="D10" sqref="D10"/>
    </sheetView>
  </sheetViews>
  <sheetFormatPr defaultRowHeight="15" x14ac:dyDescent="0.25"/>
  <cols>
    <col min="1" max="1" width="16" bestFit="1" customWidth="1"/>
    <col min="2" max="2" width="15.140625" bestFit="1" customWidth="1"/>
  </cols>
  <sheetData>
    <row r="1" spans="1:4" x14ac:dyDescent="0.25">
      <c r="A1" s="35" t="s">
        <v>1166</v>
      </c>
      <c r="B1" t="s">
        <v>1169</v>
      </c>
      <c r="D1">
        <v>5</v>
      </c>
    </row>
    <row r="2" spans="1:4" x14ac:dyDescent="0.25">
      <c r="A2" s="36" t="s">
        <v>1081</v>
      </c>
      <c r="B2">
        <v>1091100</v>
      </c>
    </row>
    <row r="3" spans="1:4" x14ac:dyDescent="0.25">
      <c r="A3" s="36" t="s">
        <v>922</v>
      </c>
      <c r="B3">
        <v>1033900</v>
      </c>
    </row>
    <row r="4" spans="1:4" x14ac:dyDescent="0.25">
      <c r="A4" s="36" t="s">
        <v>1131</v>
      </c>
      <c r="B4">
        <v>956000</v>
      </c>
    </row>
    <row r="5" spans="1:4" x14ac:dyDescent="0.25">
      <c r="A5" s="36" t="s">
        <v>1007</v>
      </c>
      <c r="B5">
        <v>956000</v>
      </c>
    </row>
    <row r="6" spans="1:4" x14ac:dyDescent="0.25">
      <c r="A6" s="36" t="s">
        <v>1056</v>
      </c>
      <c r="B6">
        <v>703800</v>
      </c>
    </row>
    <row r="7" spans="1:4" x14ac:dyDescent="0.25">
      <c r="A7" s="36" t="s">
        <v>935</v>
      </c>
      <c r="B7">
        <v>667900</v>
      </c>
    </row>
    <row r="8" spans="1:4" x14ac:dyDescent="0.25">
      <c r="A8" s="36" t="s">
        <v>999</v>
      </c>
      <c r="B8">
        <v>648500</v>
      </c>
    </row>
    <row r="9" spans="1:4" x14ac:dyDescent="0.25">
      <c r="A9" s="36" t="s">
        <v>947</v>
      </c>
      <c r="B9">
        <v>631800</v>
      </c>
    </row>
    <row r="10" spans="1:4" x14ac:dyDescent="0.25">
      <c r="A10" s="36" t="s">
        <v>653</v>
      </c>
      <c r="B10">
        <v>603700</v>
      </c>
    </row>
    <row r="11" spans="1:4" x14ac:dyDescent="0.25">
      <c r="A11" s="36" t="s">
        <v>1153</v>
      </c>
      <c r="B11">
        <v>603500</v>
      </c>
    </row>
    <row r="12" spans="1:4" x14ac:dyDescent="0.25">
      <c r="A12" s="36" t="s">
        <v>1168</v>
      </c>
      <c r="B12">
        <v>7896200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0390-1DBF-44D2-8667-C552381E1B41}">
  <dimension ref="A1:B6"/>
  <sheetViews>
    <sheetView workbookViewId="0">
      <selection sqref="A1:XFD1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1" spans="1:2" x14ac:dyDescent="0.25">
      <c r="A1" s="35" t="s">
        <v>1166</v>
      </c>
      <c r="B1" t="s">
        <v>1184</v>
      </c>
    </row>
    <row r="2" spans="1:2" x14ac:dyDescent="0.25">
      <c r="A2" s="36" t="s">
        <v>75</v>
      </c>
      <c r="B2" s="38">
        <v>0.28325123152709358</v>
      </c>
    </row>
    <row r="3" spans="1:2" x14ac:dyDescent="0.25">
      <c r="A3" s="36" t="s">
        <v>56</v>
      </c>
      <c r="B3" s="38">
        <v>0.14285714285714285</v>
      </c>
    </row>
    <row r="4" spans="1:2" x14ac:dyDescent="0.25">
      <c r="A4" s="36" t="s">
        <v>34</v>
      </c>
      <c r="B4" s="38">
        <v>0.25123152709359609</v>
      </c>
    </row>
    <row r="5" spans="1:2" x14ac:dyDescent="0.25">
      <c r="A5" s="36" t="s">
        <v>45</v>
      </c>
      <c r="B5" s="38">
        <v>0.32266009852216748</v>
      </c>
    </row>
    <row r="6" spans="1:2" x14ac:dyDescent="0.25">
      <c r="A6" s="36" t="s">
        <v>1168</v>
      </c>
      <c r="B6" s="38">
        <v>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E7D3-529F-4E2F-9F79-492CB936F165}">
  <dimension ref="A1:H73"/>
  <sheetViews>
    <sheetView workbookViewId="0">
      <selection activeCell="E1" sqref="E1"/>
    </sheetView>
  </sheetViews>
  <sheetFormatPr defaultRowHeight="15" x14ac:dyDescent="0.25"/>
  <cols>
    <col min="1" max="1" width="16" bestFit="1" customWidth="1"/>
    <col min="2" max="2" width="21" customWidth="1"/>
    <col min="3" max="3" width="17" bestFit="1" customWidth="1"/>
    <col min="4" max="7" width="15.140625" bestFit="1" customWidth="1"/>
    <col min="8" max="9" width="16.140625" bestFit="1" customWidth="1"/>
  </cols>
  <sheetData>
    <row r="1" spans="1:8" x14ac:dyDescent="0.25">
      <c r="A1" s="35" t="s">
        <v>1166</v>
      </c>
      <c r="B1" t="s">
        <v>1169</v>
      </c>
      <c r="C1" t="s">
        <v>1170</v>
      </c>
    </row>
    <row r="2" spans="1:8" x14ac:dyDescent="0.25">
      <c r="A2" s="36" t="s">
        <v>716</v>
      </c>
      <c r="B2" s="46">
        <v>5434670</v>
      </c>
      <c r="C2" s="46">
        <v>1842370</v>
      </c>
    </row>
    <row r="3" spans="1:8" x14ac:dyDescent="0.25">
      <c r="A3" s="36" t="s">
        <v>644</v>
      </c>
      <c r="B3" s="46">
        <v>15012155</v>
      </c>
      <c r="C3" s="46">
        <v>4564955</v>
      </c>
    </row>
    <row r="4" spans="1:8" x14ac:dyDescent="0.25">
      <c r="A4" s="36" t="s">
        <v>1167</v>
      </c>
      <c r="B4" s="46">
        <v>489000</v>
      </c>
      <c r="C4" s="46">
        <v>152000</v>
      </c>
    </row>
    <row r="5" spans="1:8" x14ac:dyDescent="0.25">
      <c r="A5" s="36" t="s">
        <v>657</v>
      </c>
      <c r="B5" s="46">
        <v>10559100</v>
      </c>
      <c r="C5" s="46">
        <v>3217000</v>
      </c>
    </row>
    <row r="6" spans="1:8" x14ac:dyDescent="0.25">
      <c r="A6" s="36" t="s">
        <v>1168</v>
      </c>
      <c r="B6" s="46">
        <v>31494925</v>
      </c>
      <c r="C6" s="46">
        <v>9776325</v>
      </c>
    </row>
    <row r="10" spans="1:8" x14ac:dyDescent="0.25">
      <c r="A10" s="35" t="s">
        <v>1169</v>
      </c>
      <c r="B10" s="35" t="s">
        <v>1171</v>
      </c>
    </row>
    <row r="11" spans="1:8" x14ac:dyDescent="0.25">
      <c r="A11" s="35" t="s">
        <v>1166</v>
      </c>
      <c r="B11" t="s">
        <v>89</v>
      </c>
      <c r="C11" t="s">
        <v>36</v>
      </c>
      <c r="D11" t="s">
        <v>51</v>
      </c>
      <c r="E11" t="s">
        <v>47</v>
      </c>
      <c r="F11" t="s">
        <v>66</v>
      </c>
      <c r="G11" t="s">
        <v>61</v>
      </c>
      <c r="H11" t="s">
        <v>1168</v>
      </c>
    </row>
    <row r="12" spans="1:8" x14ac:dyDescent="0.25">
      <c r="A12" s="36" t="s">
        <v>43</v>
      </c>
      <c r="B12" s="46">
        <v>285600</v>
      </c>
      <c r="C12" s="46">
        <v>836900</v>
      </c>
      <c r="D12" s="46">
        <v>1913625</v>
      </c>
      <c r="E12" s="46">
        <v>2057620</v>
      </c>
      <c r="F12" s="46">
        <v>422400</v>
      </c>
      <c r="G12" s="46">
        <v>428000</v>
      </c>
      <c r="H12" s="46">
        <v>5944145</v>
      </c>
    </row>
    <row r="13" spans="1:8" x14ac:dyDescent="0.25">
      <c r="A13" s="36" t="s">
        <v>39</v>
      </c>
      <c r="B13" s="46"/>
      <c r="C13" s="46">
        <v>1257300</v>
      </c>
      <c r="D13" s="46">
        <v>723750</v>
      </c>
      <c r="E13" s="46">
        <v>1023200</v>
      </c>
      <c r="F13" s="46">
        <v>404800</v>
      </c>
      <c r="G13" s="46">
        <v>914600</v>
      </c>
      <c r="H13" s="46">
        <v>4323650</v>
      </c>
    </row>
    <row r="14" spans="1:8" x14ac:dyDescent="0.25">
      <c r="A14" s="36" t="s">
        <v>63</v>
      </c>
      <c r="B14" s="46">
        <v>13600</v>
      </c>
      <c r="C14" s="46">
        <v>1174900</v>
      </c>
      <c r="D14" s="46">
        <v>650150</v>
      </c>
      <c r="E14" s="46">
        <v>837500</v>
      </c>
      <c r="F14" s="46">
        <v>832000</v>
      </c>
      <c r="G14" s="46">
        <v>297200</v>
      </c>
      <c r="H14" s="46">
        <v>3805350</v>
      </c>
    </row>
    <row r="15" spans="1:8" x14ac:dyDescent="0.25">
      <c r="A15" s="36" t="s">
        <v>32</v>
      </c>
      <c r="B15" s="46">
        <v>321980</v>
      </c>
      <c r="C15" s="46">
        <v>2413875</v>
      </c>
      <c r="D15" s="46">
        <v>3068250</v>
      </c>
      <c r="E15" s="46">
        <v>3188240</v>
      </c>
      <c r="F15" s="46">
        <v>1803200</v>
      </c>
      <c r="G15" s="46">
        <v>1462000</v>
      </c>
      <c r="H15" s="46">
        <v>12257545</v>
      </c>
    </row>
    <row r="16" spans="1:8" x14ac:dyDescent="0.25">
      <c r="A16" s="36" t="s">
        <v>54</v>
      </c>
      <c r="B16" s="46">
        <v>61200</v>
      </c>
      <c r="C16" s="46">
        <v>717350</v>
      </c>
      <c r="D16" s="46">
        <v>1663625</v>
      </c>
      <c r="E16" s="46">
        <v>1328660</v>
      </c>
      <c r="F16" s="46">
        <v>579200</v>
      </c>
      <c r="G16" s="46">
        <v>814200</v>
      </c>
      <c r="H16" s="46">
        <v>5164235</v>
      </c>
    </row>
    <row r="17" spans="1:8" x14ac:dyDescent="0.25">
      <c r="A17" s="36" t="s">
        <v>1168</v>
      </c>
      <c r="B17" s="46">
        <v>682380</v>
      </c>
      <c r="C17" s="46">
        <v>6400325</v>
      </c>
      <c r="D17" s="46">
        <v>8019400</v>
      </c>
      <c r="E17" s="46">
        <v>8435220</v>
      </c>
      <c r="F17" s="46">
        <v>4041600</v>
      </c>
      <c r="G17" s="46">
        <v>3916000</v>
      </c>
      <c r="H17" s="46">
        <v>31494925</v>
      </c>
    </row>
    <row r="21" spans="1:8" x14ac:dyDescent="0.25">
      <c r="A21" s="35" t="s">
        <v>1166</v>
      </c>
      <c r="B21" t="s">
        <v>1170</v>
      </c>
    </row>
    <row r="22" spans="1:8" x14ac:dyDescent="0.25">
      <c r="A22" s="36" t="s">
        <v>50</v>
      </c>
      <c r="B22" s="46">
        <v>1732150</v>
      </c>
    </row>
    <row r="23" spans="1:8" x14ac:dyDescent="0.25">
      <c r="A23" s="36" t="s">
        <v>57</v>
      </c>
      <c r="B23" s="46">
        <v>1350250</v>
      </c>
    </row>
    <row r="24" spans="1:8" x14ac:dyDescent="0.25">
      <c r="A24" s="36" t="s">
        <v>72</v>
      </c>
      <c r="B24" s="46">
        <v>1104300</v>
      </c>
    </row>
    <row r="25" spans="1:8" x14ac:dyDescent="0.25">
      <c r="A25" s="36" t="s">
        <v>35</v>
      </c>
      <c r="B25" s="46">
        <v>1046325</v>
      </c>
    </row>
    <row r="26" spans="1:8" x14ac:dyDescent="0.25">
      <c r="A26" s="36" t="s">
        <v>101</v>
      </c>
      <c r="B26" s="46">
        <v>1023700</v>
      </c>
    </row>
    <row r="27" spans="1:8" x14ac:dyDescent="0.25">
      <c r="A27" s="36" t="s">
        <v>78</v>
      </c>
      <c r="B27" s="46">
        <v>821300</v>
      </c>
    </row>
    <row r="28" spans="1:8" x14ac:dyDescent="0.25">
      <c r="A28" s="36" t="s">
        <v>69</v>
      </c>
      <c r="B28" s="46">
        <v>755400</v>
      </c>
    </row>
    <row r="29" spans="1:8" x14ac:dyDescent="0.25">
      <c r="A29" s="36" t="s">
        <v>65</v>
      </c>
      <c r="B29" s="46">
        <v>707700</v>
      </c>
    </row>
    <row r="30" spans="1:8" x14ac:dyDescent="0.25">
      <c r="A30" s="36" t="s">
        <v>199</v>
      </c>
      <c r="B30" s="46">
        <v>413800</v>
      </c>
    </row>
    <row r="31" spans="1:8" x14ac:dyDescent="0.25">
      <c r="A31" s="36" t="s">
        <v>60</v>
      </c>
      <c r="B31" s="46">
        <v>327600</v>
      </c>
    </row>
    <row r="32" spans="1:8" x14ac:dyDescent="0.25">
      <c r="A32" s="36" t="s">
        <v>1168</v>
      </c>
      <c r="B32" s="46">
        <v>9282525</v>
      </c>
    </row>
    <row r="36" spans="1:2" x14ac:dyDescent="0.25">
      <c r="A36" s="35" t="s">
        <v>1166</v>
      </c>
      <c r="B36" t="s">
        <v>1169</v>
      </c>
    </row>
    <row r="37" spans="1:2" x14ac:dyDescent="0.25">
      <c r="A37" s="36" t="s">
        <v>1172</v>
      </c>
      <c r="B37" s="46">
        <v>2933595</v>
      </c>
    </row>
    <row r="38" spans="1:2" x14ac:dyDescent="0.25">
      <c r="A38" s="36" t="s">
        <v>1173</v>
      </c>
      <c r="B38" s="46">
        <v>1782810</v>
      </c>
    </row>
    <row r="39" spans="1:2" x14ac:dyDescent="0.25">
      <c r="A39" s="36" t="s">
        <v>1174</v>
      </c>
      <c r="B39" s="46">
        <v>2504700</v>
      </c>
    </row>
    <row r="40" spans="1:2" x14ac:dyDescent="0.25">
      <c r="A40" s="36" t="s">
        <v>1175</v>
      </c>
      <c r="B40" s="46">
        <v>3004950</v>
      </c>
    </row>
    <row r="41" spans="1:2" x14ac:dyDescent="0.25">
      <c r="A41" s="36" t="s">
        <v>1176</v>
      </c>
      <c r="B41" s="46">
        <v>3064150</v>
      </c>
    </row>
    <row r="42" spans="1:2" x14ac:dyDescent="0.25">
      <c r="A42" s="36" t="s">
        <v>1177</v>
      </c>
      <c r="B42" s="46">
        <v>3193850</v>
      </c>
    </row>
    <row r="43" spans="1:2" x14ac:dyDescent="0.25">
      <c r="A43" s="36" t="s">
        <v>1178</v>
      </c>
      <c r="B43" s="46">
        <v>2117250</v>
      </c>
    </row>
    <row r="44" spans="1:2" x14ac:dyDescent="0.25">
      <c r="A44" s="36" t="s">
        <v>1179</v>
      </c>
      <c r="B44" s="46">
        <v>2738230</v>
      </c>
    </row>
    <row r="45" spans="1:2" x14ac:dyDescent="0.25">
      <c r="A45" s="36" t="s">
        <v>1180</v>
      </c>
      <c r="B45" s="46">
        <v>860650</v>
      </c>
    </row>
    <row r="46" spans="1:2" x14ac:dyDescent="0.25">
      <c r="A46" s="36" t="s">
        <v>1181</v>
      </c>
      <c r="B46" s="46">
        <v>3174045</v>
      </c>
    </row>
    <row r="47" spans="1:2" x14ac:dyDescent="0.25">
      <c r="A47" s="36" t="s">
        <v>1182</v>
      </c>
      <c r="B47" s="46">
        <v>3201295</v>
      </c>
    </row>
    <row r="48" spans="1:2" x14ac:dyDescent="0.25">
      <c r="A48" s="36" t="s">
        <v>1183</v>
      </c>
      <c r="B48" s="46">
        <v>2919400</v>
      </c>
    </row>
    <row r="49" spans="1:2" x14ac:dyDescent="0.25">
      <c r="A49" s="36" t="s">
        <v>1168</v>
      </c>
      <c r="B49" s="46">
        <v>31494925</v>
      </c>
    </row>
    <row r="53" spans="1:2" x14ac:dyDescent="0.25">
      <c r="A53" s="35" t="s">
        <v>1166</v>
      </c>
      <c r="B53" t="s">
        <v>1169</v>
      </c>
    </row>
    <row r="54" spans="1:2" x14ac:dyDescent="0.25">
      <c r="A54" s="36" t="s">
        <v>1081</v>
      </c>
      <c r="B54" s="46">
        <v>1091100</v>
      </c>
    </row>
    <row r="55" spans="1:2" x14ac:dyDescent="0.25">
      <c r="A55" s="36" t="s">
        <v>922</v>
      </c>
      <c r="B55" s="46">
        <v>1033900</v>
      </c>
    </row>
    <row r="56" spans="1:2" x14ac:dyDescent="0.25">
      <c r="A56" s="36" t="s">
        <v>1131</v>
      </c>
      <c r="B56" s="46">
        <v>956000</v>
      </c>
    </row>
    <row r="57" spans="1:2" x14ac:dyDescent="0.25">
      <c r="A57" s="36" t="s">
        <v>1007</v>
      </c>
      <c r="B57" s="46">
        <v>956000</v>
      </c>
    </row>
    <row r="58" spans="1:2" x14ac:dyDescent="0.25">
      <c r="A58" s="36" t="s">
        <v>1056</v>
      </c>
      <c r="B58" s="46">
        <v>703800</v>
      </c>
    </row>
    <row r="59" spans="1:2" x14ac:dyDescent="0.25">
      <c r="A59" s="36" t="s">
        <v>935</v>
      </c>
      <c r="B59" s="46">
        <v>667900</v>
      </c>
    </row>
    <row r="60" spans="1:2" x14ac:dyDescent="0.25">
      <c r="A60" s="36" t="s">
        <v>999</v>
      </c>
      <c r="B60" s="46">
        <v>648500</v>
      </c>
    </row>
    <row r="61" spans="1:2" x14ac:dyDescent="0.25">
      <c r="A61" s="36" t="s">
        <v>947</v>
      </c>
      <c r="B61" s="46">
        <v>631800</v>
      </c>
    </row>
    <row r="62" spans="1:2" x14ac:dyDescent="0.25">
      <c r="A62" s="36" t="s">
        <v>653</v>
      </c>
      <c r="B62" s="46">
        <v>603700</v>
      </c>
    </row>
    <row r="63" spans="1:2" x14ac:dyDescent="0.25">
      <c r="A63" s="36" t="s">
        <v>1153</v>
      </c>
      <c r="B63" s="46">
        <v>603500</v>
      </c>
    </row>
    <row r="64" spans="1:2" x14ac:dyDescent="0.25">
      <c r="A64" s="36" t="s">
        <v>1168</v>
      </c>
      <c r="B64" s="46">
        <v>7896200</v>
      </c>
    </row>
    <row r="68" spans="1:2" x14ac:dyDescent="0.25">
      <c r="A68" s="35" t="s">
        <v>1166</v>
      </c>
      <c r="B68" t="s">
        <v>1184</v>
      </c>
    </row>
    <row r="69" spans="1:2" x14ac:dyDescent="0.25">
      <c r="A69" s="36" t="s">
        <v>75</v>
      </c>
      <c r="B69" s="38">
        <v>0.28325123152709358</v>
      </c>
    </row>
    <row r="70" spans="1:2" x14ac:dyDescent="0.25">
      <c r="A70" s="36" t="s">
        <v>56</v>
      </c>
      <c r="B70" s="38">
        <v>0.14285714285714285</v>
      </c>
    </row>
    <row r="71" spans="1:2" x14ac:dyDescent="0.25">
      <c r="A71" s="36" t="s">
        <v>34</v>
      </c>
      <c r="B71" s="38">
        <v>0.25123152709359609</v>
      </c>
    </row>
    <row r="72" spans="1:2" x14ac:dyDescent="0.25">
      <c r="A72" s="36" t="s">
        <v>45</v>
      </c>
      <c r="B72" s="38">
        <v>0.32266009852216748</v>
      </c>
    </row>
    <row r="73" spans="1:2" x14ac:dyDescent="0.25">
      <c r="A73" s="36" t="s">
        <v>1168</v>
      </c>
      <c r="B73" s="3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A45-46E3-4650-BC27-C2B3048B8E75}">
  <dimension ref="A1:B12"/>
  <sheetViews>
    <sheetView workbookViewId="0">
      <selection activeCell="B11" sqref="B11"/>
    </sheetView>
  </sheetViews>
  <sheetFormatPr defaultRowHeight="15" x14ac:dyDescent="0.25"/>
  <cols>
    <col min="1" max="1" width="19.28515625" customWidth="1"/>
    <col min="2" max="2" width="18.42578125" customWidth="1"/>
  </cols>
  <sheetData>
    <row r="1" spans="1:2" x14ac:dyDescent="0.25">
      <c r="A1" t="s">
        <v>1194</v>
      </c>
      <c r="B1" s="46">
        <f>SUM(Sales[revenue])</f>
        <v>31494925</v>
      </c>
    </row>
    <row r="2" spans="1:2" x14ac:dyDescent="0.25">
      <c r="A2" t="s">
        <v>1193</v>
      </c>
      <c r="B2" s="47">
        <f>SUM(Sales[Profit_ngn])</f>
        <v>9776325</v>
      </c>
    </row>
    <row r="3" spans="1:2" x14ac:dyDescent="0.25">
      <c r="A3" t="s">
        <v>1187</v>
      </c>
      <c r="B3" s="45">
        <f>B2/B1</f>
        <v>0.31040953423448381</v>
      </c>
    </row>
    <row r="4" spans="1:2" x14ac:dyDescent="0.25">
      <c r="A4" t="s">
        <v>1192</v>
      </c>
      <c r="B4">
        <f>COUNTA(Sales[order_id])</f>
        <v>406</v>
      </c>
    </row>
    <row r="5" spans="1:2" x14ac:dyDescent="0.25">
      <c r="A5" t="s">
        <v>1188</v>
      </c>
      <c r="B5" s="47">
        <f>AVERAGE(Sales[revenue])</f>
        <v>77573.706896551725</v>
      </c>
    </row>
    <row r="6" spans="1:2" x14ac:dyDescent="0.25">
      <c r="A6" t="s">
        <v>1189</v>
      </c>
      <c r="B6">
        <f>SUM(Sales[quantity])</f>
        <v>1273</v>
      </c>
    </row>
    <row r="7" spans="1:2" x14ac:dyDescent="0.25">
      <c r="A7" t="s">
        <v>1190</v>
      </c>
      <c r="B7" s="47">
        <f>MAX(Sales[revenue])</f>
        <v>460000</v>
      </c>
    </row>
    <row r="8" spans="1:2" x14ac:dyDescent="0.25">
      <c r="A8" t="s">
        <v>1191</v>
      </c>
      <c r="B8" s="43">
        <f>MIN(Sales[order_date])</f>
        <v>45659</v>
      </c>
    </row>
    <row r="9" spans="1:2" x14ac:dyDescent="0.25">
      <c r="A9" t="s">
        <v>1195</v>
      </c>
      <c r="B9" s="43">
        <f>MAX(Sales[order_date])</f>
        <v>46022</v>
      </c>
    </row>
    <row r="10" spans="1:2" x14ac:dyDescent="0.25">
      <c r="A10" t="s">
        <v>1196</v>
      </c>
      <c r="B10" s="46">
        <f>SUMIFS(Sales[revenue], Sales[region], "Lagos")</f>
        <v>12257545</v>
      </c>
    </row>
    <row r="11" spans="1:2" x14ac:dyDescent="0.25">
      <c r="A11" t="s">
        <v>1197</v>
      </c>
      <c r="B11" s="45">
        <f>B10/B1</f>
        <v>0.38919111571149956</v>
      </c>
    </row>
    <row r="12" spans="1:2" x14ac:dyDescent="0.25">
      <c r="B12" s="4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8F00-EBD3-4C30-A5E9-28C93CF8EC92}">
  <dimension ref="B2:T7"/>
  <sheetViews>
    <sheetView showGridLines="0" workbookViewId="0">
      <selection activeCell="R12" sqref="R12"/>
    </sheetView>
  </sheetViews>
  <sheetFormatPr defaultColWidth="3.7109375" defaultRowHeight="15" x14ac:dyDescent="0.25"/>
  <cols>
    <col min="2" max="2" width="16.140625" bestFit="1" customWidth="1"/>
    <col min="7" max="7" width="19.28515625" customWidth="1"/>
    <col min="12" max="12" width="13.42578125" customWidth="1"/>
    <col min="17" max="17" width="11.5703125" bestFit="1" customWidth="1"/>
  </cols>
  <sheetData>
    <row r="2" spans="2:20" ht="26.25" x14ac:dyDescent="0.4">
      <c r="B2" s="48" t="s">
        <v>1198</v>
      </c>
    </row>
    <row r="3" spans="2:20" x14ac:dyDescent="0.25">
      <c r="B3" s="49" t="s">
        <v>1199</v>
      </c>
    </row>
    <row r="5" spans="2:20" x14ac:dyDescent="0.25">
      <c r="B5" s="54" t="s">
        <v>1200</v>
      </c>
      <c r="C5" s="50"/>
      <c r="D5" s="50"/>
      <c r="E5" s="51"/>
      <c r="G5" s="54" t="s">
        <v>1201</v>
      </c>
      <c r="H5" s="50"/>
      <c r="I5" s="50"/>
      <c r="J5" s="51"/>
      <c r="L5" s="54" t="s">
        <v>1202</v>
      </c>
      <c r="M5" s="50"/>
      <c r="N5" s="50"/>
      <c r="O5" s="51"/>
      <c r="Q5" s="54" t="s">
        <v>1203</v>
      </c>
      <c r="R5" s="50"/>
      <c r="S5" s="50"/>
      <c r="T5" s="51"/>
    </row>
    <row r="6" spans="2:20" x14ac:dyDescent="0.25">
      <c r="B6" s="56">
        <f>Summary!B1</f>
        <v>31494925</v>
      </c>
      <c r="C6" s="52"/>
      <c r="D6" s="52"/>
      <c r="E6" s="53"/>
      <c r="G6" s="56">
        <f>Summary!B2</f>
        <v>9776325</v>
      </c>
      <c r="H6" s="52"/>
      <c r="I6" s="52"/>
      <c r="J6" s="53"/>
      <c r="L6" s="56">
        <f>Summary!B5</f>
        <v>77573.706896551725</v>
      </c>
      <c r="M6" s="52"/>
      <c r="N6" s="52"/>
      <c r="O6" s="53"/>
      <c r="Q6" s="57">
        <f>Summary!B6</f>
        <v>1273</v>
      </c>
      <c r="R6" s="52"/>
      <c r="S6" s="52"/>
      <c r="T6" s="53"/>
    </row>
    <row r="7" spans="2:20" x14ac:dyDescent="0.25">
      <c r="B7" s="55" t="str">
        <f>"across" &amp;Summary!B4&amp;" orders"</f>
        <v>across406 orders</v>
      </c>
      <c r="C7" s="52"/>
      <c r="D7" s="52"/>
      <c r="E7" s="53"/>
      <c r="G7" s="55" t="str">
        <f>TEXT(Summary!B3,"0.0%")&amp;"margin"</f>
        <v>31.0%margin</v>
      </c>
      <c r="H7" s="52"/>
      <c r="I7" s="52"/>
      <c r="J7" s="53"/>
      <c r="L7" s="55" t="str">
        <f>"across120customer"</f>
        <v>across120customer</v>
      </c>
      <c r="M7" s="52"/>
      <c r="N7" s="52"/>
      <c r="O7" s="53"/>
      <c r="Q7" s="55" t="str">
        <f>"Largestorder"&amp;TEXT(Summary!B7,"#,##0")</f>
        <v>Largestorder460,000</v>
      </c>
      <c r="R7" s="52"/>
      <c r="S7" s="52"/>
      <c r="T7" s="53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7"/>
  <sheetViews>
    <sheetView zoomScaleNormal="100" workbookViewId="0"/>
  </sheetViews>
  <sheetFormatPr defaultColWidth="8.7109375" defaultRowHeight="15" x14ac:dyDescent="0.25"/>
  <cols>
    <col min="1" max="1" width="27.42578125" customWidth="1"/>
    <col min="2" max="2" width="22" customWidth="1"/>
  </cols>
  <sheetData>
    <row r="1" spans="1:2" ht="15" customHeight="1" x14ac:dyDescent="0.25">
      <c r="A1" s="13" t="s">
        <v>590</v>
      </c>
    </row>
    <row r="3" spans="1:2" ht="15" customHeight="1" x14ac:dyDescent="0.25">
      <c r="A3" s="9" t="s">
        <v>20</v>
      </c>
      <c r="B3" s="9" t="s">
        <v>591</v>
      </c>
    </row>
    <row r="4" spans="1:2" ht="15" customHeight="1" x14ac:dyDescent="0.25">
      <c r="A4" s="10" t="s">
        <v>32</v>
      </c>
      <c r="B4" s="14">
        <v>1500000</v>
      </c>
    </row>
    <row r="5" spans="1:2" ht="15" customHeight="1" x14ac:dyDescent="0.25">
      <c r="A5" s="10" t="s">
        <v>43</v>
      </c>
      <c r="B5" s="14">
        <v>400000</v>
      </c>
    </row>
    <row r="6" spans="1:2" ht="15" customHeight="1" x14ac:dyDescent="0.25">
      <c r="A6" s="10" t="s">
        <v>54</v>
      </c>
      <c r="B6" s="14">
        <v>500000</v>
      </c>
    </row>
    <row r="7" spans="1:2" ht="15" customHeight="1" x14ac:dyDescent="0.25">
      <c r="A7" s="10" t="s">
        <v>63</v>
      </c>
      <c r="B7" s="14">
        <v>300000</v>
      </c>
    </row>
    <row r="8" spans="1:2" ht="15" customHeight="1" x14ac:dyDescent="0.25">
      <c r="A8" s="10" t="s">
        <v>39</v>
      </c>
      <c r="B8" s="14">
        <v>400000</v>
      </c>
    </row>
    <row r="11" spans="1:2" ht="15" customHeight="1" x14ac:dyDescent="0.25">
      <c r="A11" s="15" t="s">
        <v>592</v>
      </c>
    </row>
    <row r="12" spans="1:2" ht="15" customHeight="1" x14ac:dyDescent="0.25">
      <c r="A12" s="10" t="s">
        <v>593</v>
      </c>
      <c r="B12" s="16">
        <v>7.4999999999999997E-2</v>
      </c>
    </row>
    <row r="13" spans="1:2" ht="15" customHeight="1" x14ac:dyDescent="0.25">
      <c r="A13" s="10" t="s">
        <v>594</v>
      </c>
      <c r="B13" s="16">
        <v>0.02</v>
      </c>
    </row>
    <row r="14" spans="1:2" ht="15" customHeight="1" x14ac:dyDescent="0.25">
      <c r="A14" s="10" t="s">
        <v>595</v>
      </c>
      <c r="B14" s="17">
        <v>100000</v>
      </c>
    </row>
    <row r="15" spans="1:2" ht="15" customHeight="1" x14ac:dyDescent="0.25">
      <c r="A15" s="10" t="s">
        <v>596</v>
      </c>
      <c r="B15" s="18">
        <v>5</v>
      </c>
    </row>
    <row r="17" spans="1:1" ht="15" customHeight="1" x14ac:dyDescent="0.25">
      <c r="A17" s="19" t="s">
        <v>597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27"/>
  <sheetViews>
    <sheetView zoomScaleNormal="100" workbookViewId="0"/>
  </sheetViews>
  <sheetFormatPr defaultColWidth="8.7109375" defaultRowHeight="15" x14ac:dyDescent="0.25"/>
  <cols>
    <col min="1" max="1" width="8" customWidth="1"/>
    <col min="2" max="2" width="62" customWidth="1"/>
    <col min="3" max="3" width="22" customWidth="1"/>
    <col min="4" max="4" width="40" customWidth="1"/>
  </cols>
  <sheetData>
    <row r="1" spans="1:4" ht="17.45" customHeight="1" x14ac:dyDescent="0.25">
      <c r="A1" s="20" t="s">
        <v>598</v>
      </c>
    </row>
    <row r="2" spans="1:4" ht="15" customHeight="1" x14ac:dyDescent="0.25">
      <c r="A2" s="21" t="s">
        <v>599</v>
      </c>
    </row>
    <row r="4" spans="1:4" ht="15" customHeight="1" x14ac:dyDescent="0.25">
      <c r="A4" s="9" t="s">
        <v>600</v>
      </c>
      <c r="B4" s="9" t="s">
        <v>601</v>
      </c>
      <c r="C4" s="9" t="s">
        <v>602</v>
      </c>
      <c r="D4" s="9" t="s">
        <v>603</v>
      </c>
    </row>
    <row r="5" spans="1:4" ht="21.75" customHeight="1" x14ac:dyDescent="0.25">
      <c r="A5" s="58" t="s">
        <v>604</v>
      </c>
      <c r="B5" s="59"/>
      <c r="C5" s="59"/>
      <c r="D5" s="59"/>
    </row>
    <row r="6" spans="1:4" ht="30" customHeight="1" x14ac:dyDescent="0.25">
      <c r="A6" s="22">
        <v>1</v>
      </c>
      <c r="B6" s="23" t="s">
        <v>605</v>
      </c>
      <c r="C6" s="24"/>
      <c r="D6" s="24"/>
    </row>
    <row r="7" spans="1:4" ht="30" customHeight="1" x14ac:dyDescent="0.25">
      <c r="A7" s="22">
        <v>2</v>
      </c>
      <c r="B7" s="23" t="s">
        <v>606</v>
      </c>
      <c r="C7" s="24"/>
      <c r="D7" s="24"/>
    </row>
    <row r="8" spans="1:4" ht="30" customHeight="1" x14ac:dyDescent="0.25">
      <c r="A8" s="22">
        <v>3</v>
      </c>
      <c r="B8" s="23" t="s">
        <v>607</v>
      </c>
      <c r="C8" s="24"/>
      <c r="D8" s="24"/>
    </row>
    <row r="9" spans="1:4" ht="21.75" customHeight="1" x14ac:dyDescent="0.25">
      <c r="A9" s="58" t="s">
        <v>608</v>
      </c>
      <c r="B9" s="59"/>
      <c r="C9" s="59"/>
      <c r="D9" s="59"/>
    </row>
    <row r="10" spans="1:4" ht="30" customHeight="1" x14ac:dyDescent="0.25">
      <c r="A10" s="22">
        <v>4</v>
      </c>
      <c r="B10" s="23" t="s">
        <v>609</v>
      </c>
      <c r="C10" s="24"/>
      <c r="D10" s="24"/>
    </row>
    <row r="11" spans="1:4" ht="30" customHeight="1" x14ac:dyDescent="0.25">
      <c r="A11" s="22">
        <v>5</v>
      </c>
      <c r="B11" s="23" t="s">
        <v>610</v>
      </c>
      <c r="C11" s="24"/>
      <c r="D11" s="24"/>
    </row>
    <row r="12" spans="1:4" ht="30" customHeight="1" x14ac:dyDescent="0.25">
      <c r="A12" s="22">
        <v>6</v>
      </c>
      <c r="B12" s="23" t="s">
        <v>611</v>
      </c>
      <c r="C12" s="24"/>
      <c r="D12" s="24"/>
    </row>
    <row r="13" spans="1:4" ht="21.75" customHeight="1" x14ac:dyDescent="0.25">
      <c r="A13" s="58" t="s">
        <v>612</v>
      </c>
      <c r="B13" s="59"/>
      <c r="C13" s="59"/>
      <c r="D13" s="59"/>
    </row>
    <row r="14" spans="1:4" ht="30" customHeight="1" x14ac:dyDescent="0.25">
      <c r="A14" s="22">
        <v>7</v>
      </c>
      <c r="B14" s="23" t="s">
        <v>613</v>
      </c>
      <c r="C14" s="24"/>
      <c r="D14" s="24"/>
    </row>
    <row r="15" spans="1:4" ht="30" customHeight="1" x14ac:dyDescent="0.25">
      <c r="A15" s="22">
        <v>8</v>
      </c>
      <c r="B15" s="23" t="s">
        <v>614</v>
      </c>
      <c r="C15" s="24"/>
      <c r="D15" s="24"/>
    </row>
    <row r="16" spans="1:4" ht="30" customHeight="1" x14ac:dyDescent="0.25">
      <c r="A16" s="22">
        <v>9</v>
      </c>
      <c r="B16" s="23" t="s">
        <v>615</v>
      </c>
      <c r="C16" s="24"/>
      <c r="D16" s="24"/>
    </row>
    <row r="17" spans="1:4" ht="21.75" customHeight="1" x14ac:dyDescent="0.25">
      <c r="A17" s="58" t="s">
        <v>616</v>
      </c>
      <c r="B17" s="59"/>
      <c r="C17" s="59"/>
      <c r="D17" s="59"/>
    </row>
    <row r="18" spans="1:4" ht="30" customHeight="1" x14ac:dyDescent="0.25">
      <c r="A18" s="22">
        <v>10</v>
      </c>
      <c r="B18" s="23" t="s">
        <v>617</v>
      </c>
      <c r="C18" s="24"/>
      <c r="D18" s="24"/>
    </row>
    <row r="19" spans="1:4" ht="30" customHeight="1" x14ac:dyDescent="0.25">
      <c r="A19" s="22">
        <v>11</v>
      </c>
      <c r="B19" s="23" t="s">
        <v>618</v>
      </c>
      <c r="C19" s="24"/>
      <c r="D19" s="24"/>
    </row>
    <row r="20" spans="1:4" ht="30" customHeight="1" x14ac:dyDescent="0.25">
      <c r="A20" s="22">
        <v>12</v>
      </c>
      <c r="B20" s="23" t="s">
        <v>619</v>
      </c>
      <c r="C20" s="24"/>
      <c r="D20" s="24"/>
    </row>
    <row r="21" spans="1:4" ht="21.75" customHeight="1" x14ac:dyDescent="0.25">
      <c r="A21" s="58" t="s">
        <v>620</v>
      </c>
      <c r="B21" s="59"/>
      <c r="C21" s="59"/>
      <c r="D21" s="59"/>
    </row>
    <row r="22" spans="1:4" ht="30" customHeight="1" x14ac:dyDescent="0.25">
      <c r="A22" s="22">
        <v>13</v>
      </c>
      <c r="B22" s="23" t="s">
        <v>621</v>
      </c>
      <c r="C22" s="24"/>
      <c r="D22" s="24"/>
    </row>
    <row r="23" spans="1:4" ht="30" customHeight="1" x14ac:dyDescent="0.25">
      <c r="A23" s="22">
        <v>14</v>
      </c>
      <c r="B23" s="23" t="s">
        <v>622</v>
      </c>
      <c r="C23" s="24"/>
      <c r="D23" s="24"/>
    </row>
    <row r="24" spans="1:4" ht="30" customHeight="1" x14ac:dyDescent="0.25">
      <c r="A24" s="22">
        <v>15</v>
      </c>
      <c r="B24" s="23" t="s">
        <v>623</v>
      </c>
      <c r="C24" s="24"/>
      <c r="D24" s="24"/>
    </row>
    <row r="25" spans="1:4" ht="21.75" customHeight="1" x14ac:dyDescent="0.25">
      <c r="A25" s="58" t="s">
        <v>624</v>
      </c>
      <c r="B25" s="59"/>
      <c r="C25" s="59"/>
      <c r="D25" s="59"/>
    </row>
    <row r="26" spans="1:4" ht="30" customHeight="1" x14ac:dyDescent="0.25">
      <c r="A26" s="22">
        <v>16</v>
      </c>
      <c r="B26" s="23" t="s">
        <v>625</v>
      </c>
      <c r="C26" s="24"/>
      <c r="D26" s="24"/>
    </row>
    <row r="27" spans="1:4" ht="30" customHeight="1" x14ac:dyDescent="0.25">
      <c r="A27" s="22">
        <v>17</v>
      </c>
      <c r="B27" s="23" t="s">
        <v>626</v>
      </c>
      <c r="C27" s="24"/>
      <c r="D27" s="24"/>
    </row>
  </sheetData>
  <mergeCells count="6">
    <mergeCell ref="A5:D5"/>
    <mergeCell ref="A17:D17"/>
    <mergeCell ref="A9:D9"/>
    <mergeCell ref="A21:D21"/>
    <mergeCell ref="A25:D25"/>
    <mergeCell ref="A13:D13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Customers</vt:lpstr>
      <vt:lpstr>Sales</vt:lpstr>
      <vt:lpstr>Detail1</vt:lpstr>
      <vt:lpstr>PVT 1</vt:lpstr>
      <vt:lpstr>PVT 2</vt:lpstr>
      <vt:lpstr>PVT 3</vt:lpstr>
      <vt:lpstr>PVT4</vt:lpstr>
      <vt:lpstr>PVT 5</vt:lpstr>
      <vt:lpstr>PVT 6</vt:lpstr>
      <vt:lpstr>6 PVTs For Dashboard</vt:lpstr>
      <vt:lpstr>Summary</vt:lpstr>
      <vt:lpstr>Dashboard</vt:lpstr>
      <vt:lpstr>Targets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Royal Shoppers</cp:lastModifiedBy>
  <cp:revision>0</cp:revision>
  <dcterms:created xsi:type="dcterms:W3CDTF">2026-08-16T21:43:39Z</dcterms:created>
  <dcterms:modified xsi:type="dcterms:W3CDTF">2026-10-22T07:51:41Z</dcterms:modified>
  <dc:language>en-US</dc:language>
</cp:coreProperties>
</file>