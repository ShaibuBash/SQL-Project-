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3ada3e33db6a4df4/ASSIGNMENT Data Analysis- Digital Skill Centre/WEEK 4/"/>
    </mc:Choice>
  </mc:AlternateContent>
  <xr:revisionPtr revIDLastSave="13" documentId="8_{ACF2D393-DC8F-4D98-886D-05587E12935C}" xr6:coauthVersionLast="47" xr6:coauthVersionMax="47" xr10:uidLastSave="{8ECB7C74-9BC8-4244-B80A-B4534093CDF7}"/>
  <bookViews>
    <workbookView xWindow="-120" yWindow="-120" windowWidth="20730" windowHeight="11040" tabRatio="500" firstSheet="3" activeTab="3" xr2:uid="{00000000-000D-0000-FFFF-FFFF00000000}"/>
  </bookViews>
  <sheets>
    <sheet name="1. Project Brief" sheetId="1" state="hidden" r:id="rId1"/>
    <sheet name="2. Build Checklist" sheetId="2" state="hidden" r:id="rId2"/>
    <sheet name="THE QUERY FILE" sheetId="4" state="hidden" r:id="rId3"/>
    <sheet name="THE RESULT(FINDINGS)" sheetId="5" r:id="rId4"/>
    <sheet name="Management Summary" sheetId="3" r:id="rId5"/>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5" i="5" l="1"/>
  <c r="D15" i="5"/>
  <c r="B15" i="5"/>
</calcChain>
</file>

<file path=xl/sharedStrings.xml><?xml version="1.0" encoding="utf-8"?>
<sst xmlns="http://schemas.openxmlformats.org/spreadsheetml/2006/main" count="137" uniqueCount="119">
  <si>
    <t>Week 4 • Day 4 — SQL Project</t>
  </si>
  <si>
    <t>ASSESSED. SQL PROJECT COMPLETE — 10% of your final grade.</t>
  </si>
  <si>
    <t>The brief</t>
  </si>
  <si>
    <t>“I need one investigation, properly documented, that I could hand to someone else and they</t>
  </si>
  <si>
    <t>could pick up exactly where you left off. Show me what you found, how you know it is true,</t>
  </si>
  <si>
    <t>and what I should do about it.”</t>
  </si>
  <si>
    <t xml:space="preserve">                                                                          — Managing Director</t>
  </si>
  <si>
    <t>Choose ONE investigation and go deep</t>
  </si>
  <si>
    <t>1.  Customer value — who spends above average, what they buy, your exposure if they leave</t>
  </si>
  <si>
    <t>2.  The September pattern — data gap or real event, proved with running totals and LAG</t>
  </si>
  <si>
    <t>3.  Order leakage — quantify it, explain it, recommend a fix</t>
  </si>
  <si>
    <t>4.  Product economics — revenue vs profit by category, and the stocking implication</t>
  </si>
  <si>
    <t>One deep investigation beats four shallow ones. Do not try to cover all four.</t>
  </si>
  <si>
    <t>What you submit by 1:00 PM</t>
  </si>
  <si>
    <t>1.  The query file  —  surname_sql_project.sql, every query commented and validated</t>
  </si>
  <si>
    <t>2.  The results  —  a table or screenshot of output for each finding</t>
  </si>
  <si>
    <t>3.  The management summary  —  surname_summary.pdf, one page</t>
  </si>
  <si>
    <t>You also present for five minutes and answer questions.</t>
  </si>
  <si>
    <t>The number everything must reconcile to</t>
  </si>
  <si>
    <t>₦31,494,925  across 406 orders.</t>
  </si>
  <si>
    <t>Confirm this BEFORE you build anything else. Fixing it later costs you the whole morning.</t>
  </si>
  <si>
    <t>How you are marked</t>
  </si>
  <si>
    <t>Technical accuracy 25%  ·  Data preparation 15%  ·  Analytical reasoning 20%</t>
  </si>
  <si>
    <t>Business insight 15%  ·  Communication 10%  ·  Professional practice 10%  ·  Q&amp;A / defence 5%</t>
  </si>
  <si>
    <t>Accuracy is still the biggest slice. A brilliant idea built on an unreconciled query scores badly.</t>
  </si>
  <si>
    <t>Digital Skills Centre — Data Analytics Programme</t>
  </si>
  <si>
    <t>Build Checklist</t>
  </si>
  <si>
    <t>Tick as you go. Anything unticked at 12:55 is a mark you are giving away.</t>
  </si>
  <si>
    <t>BEFORE YOU BUILD</t>
  </si>
  <si>
    <t>Reconciliation figure confirmed at the top of your file</t>
  </si>
  <si>
    <t>Chosen ONE investigation, not several shallow ones</t>
  </si>
  <si>
    <t>QUERY FILE</t>
  </si>
  <si>
    <t>Every CTE named descriptively (not cte1, a, b)</t>
  </si>
  <si>
    <t>A comment block: what it answers, in one sentence a manager would understand</t>
  </si>
  <si>
    <t>A validation line: what you checked, and what it produced</t>
  </si>
  <si>
    <t>A stated limitation: what this does NOT account for</t>
  </si>
  <si>
    <t>At least one JOIN, chosen deliberately — say why LEFT or INNER</t>
  </si>
  <si>
    <t>No hardcoded numbers where a reference would do</t>
  </si>
  <si>
    <t>Built and tested one CTE at a time, not all at once</t>
  </si>
  <si>
    <t>MANAGEMENT SUMMARY</t>
  </si>
  <si>
    <t>What is happening — fact, headline numbers, no interpretation yet</t>
  </si>
  <si>
    <t>What it means — your strongest finding</t>
  </si>
  <si>
    <t>What to do — a recommendation specific enough to act on this month</t>
  </si>
  <si>
    <t>What you did NOT have time to check</t>
  </si>
  <si>
    <t>SUBMISSION</t>
  </si>
  <si>
    <t>File named surname_sql_project.sql</t>
  </si>
  <si>
    <t>Results table or screenshot for each finding</t>
  </si>
  <si>
    <t>Summary exported as surname_summary.pdf</t>
  </si>
  <si>
    <t>Practised the five-minute presentation once</t>
  </si>
  <si>
    <t>Management Summary — one page</t>
  </si>
  <si>
    <t>What / so what / now what. Write here, then export as PDF.</t>
  </si>
  <si>
    <t>1. WHAT IS HAPPENING</t>
  </si>
  <si>
    <t>Two or three sentences of fact. No interpretation yet.</t>
  </si>
  <si>
    <t>2. WHAT IT MEANS</t>
  </si>
  <si>
    <t>Your strongest finding. One sentence, traceable to a query.</t>
  </si>
  <si>
    <t>3. WHAT TO DO</t>
  </si>
  <si>
    <t>A recommendation specific enough to act on this month.</t>
  </si>
  <si>
    <t>WHAT I DID NOT HAVE TIME TO CHECK</t>
  </si>
  <si>
    <t>Be specific. This is expected, and it is marked.</t>
  </si>
  <si>
    <t>Test: could this recommendation apply to any business? If yes, it is not specific enough.</t>
  </si>
  <si>
    <t>Your name: SHAIBU BASHIRU</t>
  </si>
  <si>
    <t>INVESTIGATIONS</t>
  </si>
  <si>
    <t>SQL PROJECT</t>
  </si>
  <si>
    <t>TOPIC:  PRODUCT ECONOMICS</t>
  </si>
  <si>
    <t>PRESENTER: SHAIBU BASHIRU</t>
  </si>
  <si>
    <t>a.</t>
  </si>
  <si>
    <t>b.</t>
  </si>
  <si>
    <t>c.</t>
  </si>
  <si>
    <t>What is the profit by product category</t>
  </si>
  <si>
    <t>Comparison Revenue vs  Profit by product category</t>
  </si>
  <si>
    <t>What is the revenue by product category</t>
  </si>
  <si>
    <t>CATEGORY</t>
  </si>
  <si>
    <t>REVENUE</t>
  </si>
  <si>
    <t>PROFIT</t>
  </si>
  <si>
    <t>ORDER COUNT</t>
  </si>
  <si>
    <t>Groceries</t>
  </si>
  <si>
    <t>Fashion</t>
  </si>
  <si>
    <t>Electronic</t>
  </si>
  <si>
    <t>Home</t>
  </si>
  <si>
    <t>Textiles</t>
  </si>
  <si>
    <t>Beauty</t>
  </si>
  <si>
    <t>TOTAL</t>
  </si>
  <si>
    <t>Electronics</t>
  </si>
  <si>
    <t>GRAPHICAL REPRESENTATION</t>
  </si>
  <si>
    <t>total_profit</t>
  </si>
  <si>
    <t>total_revenue</t>
  </si>
  <si>
    <t>Rank Categories by revenue_rank, profit_rank and profit_ margin_rank</t>
  </si>
  <si>
    <t>d</t>
  </si>
  <si>
    <t>category</t>
  </si>
  <si>
    <t>revenue_rank</t>
  </si>
  <si>
    <t>profit_rank</t>
  </si>
  <si>
    <t>profit_margin_rank</t>
  </si>
  <si>
    <t>WITH category_economics AS (
SELECT p.category,
SUM(o.quantity * p.unit_price_ngn * (1 - o.discount_pct)) AS revenue,
SUM(o.quantity * p.unit_price_ngn * (1 - o.discount_pct)- o.quantity * p.unit_cost_ngn) AS profit
FROM orders o    
JOIN products p ON o.product_id = p.product_id
GROUP BY p.category)
SELECT category,
/*ROUND(revenue, 0) AS total_revenue,*/
RANK() OVER (ORDER BY revenue DESC) AS revenue_rank,
/*ROUND(profit, 0) AS total_profit,*/
RANK() OVER (ORDER BY profit DESC) AS profit_rank,
/*ROUND(profit / NULLIF(revenue, 0) * 100, 1) AS profit_margin_percentage,*/
RANK() OVER (ORDER BY profit / NULLIF(revenue, 0) DESC) AS profit_margin_rank
FROM category_economics
ORDER BY profit_margin_rank;</t>
  </si>
  <si>
    <r>
      <rPr>
        <sz val="11"/>
        <rFont val="Calibri"/>
        <family val="2"/>
      </rPr>
      <t>/*The product categories by their sales revenue*/</t>
    </r>
    <r>
      <rPr>
        <sz val="11"/>
        <color rgb="FFFF0000"/>
        <rFont val="Calibri"/>
        <family val="2"/>
        <charset val="1"/>
      </rPr>
      <t xml:space="preserve">
SELECT P.category,COUNT(*) AS orders, 
Round(sum(o.quantity*p.unit_price_ngn*(1-o.discount_pct)),0)
AS Revenue
FROM orders o
JOIN products p ON o.product_id=p.product_id
GROUP BY p.category
ORDER BY revenue DESC;
</t>
    </r>
    <r>
      <rPr>
        <sz val="11"/>
        <rFont val="Calibri"/>
        <family val="2"/>
      </rPr>
      <t>/*VALIDATION: I hecked that every order's product_id matches a product and produced revenue totals by category*/
/*LIMITATION: Revenue does not account for product operating expenses, returns, refunds, or overhead costs*/</t>
    </r>
  </si>
  <si>
    <r>
      <rPr>
        <sz val="11"/>
        <rFont val="Calibri"/>
        <family val="2"/>
      </rPr>
      <t xml:space="preserve">/*The product categories by their profit*/
</t>
    </r>
    <r>
      <rPr>
        <sz val="11"/>
        <color rgb="FFFF0000"/>
        <rFont val="Calibri"/>
        <family val="2"/>
        <charset val="1"/>
      </rPr>
      <t xml:space="preserve">
SELECT P.category,COUNT(*) AS orders,
Round(sum((o.quantity*p.unit_price_ngn*(1-o.discount_pct))-(p.unit_cost_ngn*o.quantity)),0)
AS Profit
FROM orders o
JOIN products p ON o.product_id=p.product_id
GROUP BY p.category
ORDER BY Profit DESC;
</t>
    </r>
    <r>
      <rPr>
        <sz val="11"/>
        <rFont val="Calibri"/>
        <family val="2"/>
      </rPr>
      <t>/*VALIDATION: I checked revenue less product cost for each order line and aggregated the resulting profit by category*/
/* LIMITATION: This does not account for any operating cost of the business such as salaries, rent, delivery expenses, marketing, tax, or other operating costs*/</t>
    </r>
  </si>
  <si>
    <r>
      <rPr>
        <sz val="11"/>
        <rFont val="Calibri"/>
        <family val="2"/>
      </rPr>
      <t xml:space="preserve">/*This is to create a shortlived table named product_category_economics*/
</t>
    </r>
    <r>
      <rPr>
        <sz val="11"/>
        <color rgb="FFFF0000"/>
        <rFont val="Calibri"/>
        <family val="2"/>
      </rPr>
      <t xml:space="preserve">
WITH product_category_economics AS 
(SELECT p.category,
SUM(o.quantity * p.unit_price_ngn * (1 - o.discount_pct)) AS revenue,
SUM(o.quantity * p.unit_price_ngn * (1 - o.discount_pct)- o.quantity * p.unit_cost_ngn) AS profit
FROM orders o 
JOIN products p ON o.product_id = p.product_id
GROUP BY p.category)
</t>
    </r>
    <r>
      <rPr>
        <sz val="11"/>
        <color theme="1"/>
        <rFont val="Calibri"/>
        <family val="2"/>
        <charset val="1"/>
      </rPr>
      <t xml:space="preserve">
/* This is to show the categories along side their revenue and  profit*/
</t>
    </r>
    <r>
      <rPr>
        <sz val="11"/>
        <color rgb="FFFF0000"/>
        <rFont val="Calibri"/>
        <family val="2"/>
      </rPr>
      <t>SELECT category,
ROUND(revenue, 0) AS total_revenue,
ROUND(profit, 0) AS total_profit,
ROUND(profit /NULLIF(revenue, 0) * 100,1) AS percentage_of_profit_margin
FROM product_category_economics
ORDER BY percentage_of_profit_margin DESC;</t>
    </r>
    <r>
      <rPr>
        <sz val="11"/>
        <color theme="1"/>
        <rFont val="Calibri"/>
        <family val="2"/>
        <charset val="1"/>
      </rPr>
      <t xml:space="preserve">
/* VALIDATION: I checked that each category's profit equals revenue minus product cost and produced revenue, profit, and margin together*/
/*LIMITATION: This measures gross product economics and does not include operating or inventory-holding costs*/</t>
    </r>
  </si>
  <si>
    <t>RECONCILED FIGURES</t>
  </si>
  <si>
    <t>SELECT ROUND(SUM(o.quantity * p.unit_price_ngn * (1 - o.discount_pct)),0) AS Total_revenue
FROM orders o
INNER JOIN products p ON o.product_id = p.product_id;</t>
  </si>
  <si>
    <t>FINDINGS</t>
  </si>
  <si>
    <t>QUERIES</t>
  </si>
  <si>
    <t>SELECT Round(sum((o.quantity*p.unit_price_ngn*(1-o.discount_pct))-(p.unit_cost_ngn*o.quantity)),0)
AS Profit
FROM orders o
JOIN products p ON o.product_id=p.product_id</t>
  </si>
  <si>
    <t>Category 
Count</t>
  </si>
  <si>
    <t>Order 
Count</t>
  </si>
  <si>
    <t>SELECT COUNT (*)
FROM orders o</t>
  </si>
  <si>
    <t>SELECT COUNT(DISTINCT category) AS distinct_category_count
FROM products;</t>
  </si>
  <si>
    <t>The Beauty category is not as weak as it appears</t>
  </si>
  <si>
    <t>Groceries with the highest revenue has the least profit margin</t>
  </si>
  <si>
    <t>Beauty category returns over 40% of its revenue as profit for the business during the period being analyzed.</t>
  </si>
  <si>
    <t>The pattern of repeat purchase of customer under the FASHION category</t>
  </si>
  <si>
    <t>percentage_of_profit_margin</t>
  </si>
  <si>
    <t xml:space="preserve">The Beauty category is the best performing if we are to rate our performance only on percentage of profit margin. </t>
  </si>
  <si>
    <r>
      <rPr>
        <b/>
        <u/>
        <sz val="10"/>
        <rFont val="Arial"/>
        <family val="2"/>
      </rPr>
      <t>GENERAL STOCK RULE</t>
    </r>
    <r>
      <rPr>
        <sz val="10"/>
        <rFont val="Arial"/>
        <family val="2"/>
      </rPr>
      <t xml:space="preserve">
High revenue  with high profit margin &gt;&gt;&gt; prioritize stocking.
High revenue with low profit margin &gt;&gt;&gt; stock carefully and investigate pricing/cost.
Low revenue with high profit margin &gt;&gt;&gt; maintain targeted stock; opportunity for growth.
Low revenue with low profit margin &gt;&gt;&gt; reduce stocking priority.
Relying on the stock rule above, the business should explore more marketing options for the FASHION category as is currently has the best OVERALL PERFORMANCE considering our THREE current matrics of REVENUE, PROFIT &amp; PERCENTAGE OF PROFIT MARGIN. It has excellent revenue which is required for running/operating cost as well as excellent profit and percentage of profit margin.</t>
    </r>
  </si>
  <si>
    <r>
      <rPr>
        <b/>
        <sz val="11"/>
        <color rgb="FFFF0000"/>
        <rFont val="Calibri"/>
        <family val="2"/>
      </rPr>
      <t>Interpretation key:</t>
    </r>
    <r>
      <rPr>
        <sz val="11"/>
        <color theme="1"/>
        <rFont val="Calibri"/>
        <family val="2"/>
        <charset val="1"/>
      </rPr>
      <t xml:space="preserve"> 
</t>
    </r>
    <r>
      <rPr>
        <b/>
        <sz val="11"/>
        <color theme="5" tint="-0.249977111117893"/>
        <rFont val="Calibri"/>
        <family val="2"/>
      </rPr>
      <t>1 = BEST  PERFORMANCE
6 = LEAST PERFORMANCE</t>
    </r>
  </si>
  <si>
    <t>=</t>
  </si>
  <si>
    <t>COMPARING TOTAL REVENUE &amp; PROFIT OF EACH CATEGORY WITH THEIR PROFIT MARGIN</t>
  </si>
  <si>
    <t xml:space="preserve">INVESTIGATIONS FINDINGS </t>
  </si>
  <si>
    <t xml:space="preserve">COMPARING TOTAL REVENUE &amp; TOTAL PROFIT OF EACH CATEGORY </t>
  </si>
  <si>
    <t>RANKING THE PRODUCT CATEGORIES IN ORDER OF THEIR REVENUE, PROFIT &amp; PROFIT MARGIN</t>
  </si>
  <si>
    <r>
      <rPr>
        <b/>
        <sz val="14"/>
        <color theme="1"/>
        <rFont val="Calibri"/>
        <family val="2"/>
      </rPr>
      <t>DATE:</t>
    </r>
    <r>
      <rPr>
        <sz val="14"/>
        <color theme="1"/>
        <rFont val="Calibri"/>
        <family val="2"/>
      </rPr>
      <t xml:space="preserve"> 07/10/2026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</si>
</sst>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66]\ #,##0.00"/>
  </numFmts>
  <fonts count="45" x14ac:knownFonts="1">
    <font>
      <sz val="11"/>
      <color theme="1"/>
      <name val="Calibri"/>
      <family val="2"/>
      <charset val="1"/>
    </font>
    <font>
      <b/>
      <sz val="15"/>
      <color rgb="FF0E2A47"/>
      <name val="Arial"/>
      <charset val="1"/>
    </font>
    <font>
      <b/>
      <sz val="11"/>
      <color rgb="FFC0392B"/>
      <name val="Arial"/>
      <charset val="1"/>
    </font>
    <font>
      <sz val="10"/>
      <color rgb="FF17242E"/>
      <name val="Arial"/>
      <charset val="1"/>
    </font>
    <font>
      <b/>
      <sz val="12"/>
      <color rgb="FF12507E"/>
      <name val="Arial"/>
      <charset val="1"/>
    </font>
    <font>
      <sz val="11"/>
      <color rgb="FF17242E"/>
      <name val="Arial"/>
      <charset val="1"/>
    </font>
    <font>
      <b/>
      <sz val="10"/>
      <color rgb="FF5A6B7B"/>
      <name val="Arial"/>
      <charset val="1"/>
    </font>
    <font>
      <b/>
      <sz val="11"/>
      <color rgb="FF17242E"/>
      <name val="Arial"/>
      <charset val="1"/>
    </font>
    <font>
      <b/>
      <sz val="12"/>
      <color rgb="FFC0392B"/>
      <name val="Arial"/>
      <charset val="1"/>
    </font>
    <font>
      <b/>
      <sz val="12"/>
      <color rgb="FF17242E"/>
      <name val="Arial"/>
      <charset val="1"/>
    </font>
    <font>
      <sz val="11"/>
      <color rgb="FF5A6B7B"/>
      <name val="Arial"/>
      <charset val="1"/>
    </font>
    <font>
      <b/>
      <sz val="9"/>
      <color rgb="FF5A6B7B"/>
      <name val="Arial"/>
      <charset val="1"/>
    </font>
    <font>
      <i/>
      <sz val="10"/>
      <color rgb="FF1C7293"/>
      <name val="Arial"/>
      <charset val="1"/>
    </font>
    <font>
      <b/>
      <sz val="11"/>
      <color rgb="FF12507E"/>
      <name val="Arial"/>
      <charset val="1"/>
    </font>
    <font>
      <sz val="10"/>
      <name val="Arial"/>
      <charset val="1"/>
    </font>
    <font>
      <b/>
      <sz val="10"/>
      <name val="Arial"/>
      <charset val="1"/>
    </font>
    <font>
      <i/>
      <sz val="9"/>
      <color rgb="FF5A6B7B"/>
      <name val="Arial"/>
      <charset val="1"/>
    </font>
    <font>
      <b/>
      <i/>
      <sz val="10"/>
      <color rgb="FFC0392B"/>
      <name val="Arial"/>
      <charset val="1"/>
    </font>
    <font>
      <b/>
      <sz val="11"/>
      <color theme="1"/>
      <name val="Calibri"/>
      <family val="2"/>
    </font>
    <font>
      <sz val="11"/>
      <color theme="1"/>
      <name val="Calibri"/>
      <family val="2"/>
    </font>
    <font>
      <sz val="20"/>
      <color theme="1"/>
      <name val="Calibri"/>
      <family val="2"/>
    </font>
    <font>
      <b/>
      <sz val="20"/>
      <color theme="1"/>
      <name val="Calibri"/>
      <family val="2"/>
    </font>
    <font>
      <sz val="18"/>
      <color theme="1"/>
      <name val="Calibri"/>
      <family val="2"/>
      <charset val="1"/>
    </font>
    <font>
      <b/>
      <sz val="20"/>
      <color theme="1"/>
      <name val="Castellar"/>
      <family val="1"/>
    </font>
    <font>
      <sz val="11"/>
      <color rgb="FFFF0000"/>
      <name val="Calibri"/>
      <family val="2"/>
      <charset val="1"/>
    </font>
    <font>
      <b/>
      <i/>
      <sz val="11"/>
      <color theme="1"/>
      <name val="Calibri"/>
      <family val="2"/>
    </font>
    <font>
      <sz val="11"/>
      <name val="Calibri"/>
      <family val="2"/>
    </font>
    <font>
      <sz val="11"/>
      <color rgb="FFFF0000"/>
      <name val="Calibri"/>
      <family val="2"/>
    </font>
    <font>
      <sz val="11"/>
      <color rgb="FFFF0000"/>
      <name val="Bodoni MT Black"/>
      <family val="1"/>
    </font>
    <font>
      <b/>
      <i/>
      <sz val="10"/>
      <color theme="1"/>
      <name val="Calibri"/>
      <family val="2"/>
    </font>
    <font>
      <b/>
      <sz val="11"/>
      <color rgb="FFFF0000"/>
      <name val="Calibri"/>
      <family val="2"/>
    </font>
    <font>
      <b/>
      <sz val="11"/>
      <color theme="5" tint="-0.249977111117893"/>
      <name val="Calibri"/>
      <family val="2"/>
    </font>
    <font>
      <sz val="11"/>
      <color rgb="FF000000"/>
      <name val="Calibri"/>
      <family val="2"/>
    </font>
    <font>
      <sz val="14"/>
      <color theme="1"/>
      <name val="Calibri"/>
      <family val="2"/>
      <charset val="1"/>
    </font>
    <font>
      <b/>
      <u/>
      <sz val="18"/>
      <color theme="1"/>
      <name val="Calibri"/>
      <family val="2"/>
    </font>
    <font>
      <b/>
      <i/>
      <u/>
      <sz val="11"/>
      <color theme="1"/>
      <name val="Calibri"/>
      <family val="2"/>
    </font>
    <font>
      <sz val="10"/>
      <name val="Arial"/>
      <family val="2"/>
    </font>
    <font>
      <b/>
      <u/>
      <sz val="10"/>
      <name val="Arial"/>
      <family val="2"/>
    </font>
    <font>
      <sz val="22"/>
      <color theme="1"/>
      <name val="Cambria"/>
      <family val="1"/>
    </font>
    <font>
      <sz val="14"/>
      <color theme="1"/>
      <name val="Calibri"/>
      <family val="2"/>
    </font>
    <font>
      <b/>
      <sz val="14"/>
      <color theme="1"/>
      <name val="Calibri"/>
      <family val="2"/>
    </font>
    <font>
      <b/>
      <sz val="11"/>
      <color theme="9"/>
      <name val="Calibri"/>
      <family val="2"/>
    </font>
    <font>
      <b/>
      <sz val="14"/>
      <color theme="1"/>
      <name val="Bernard MT Condensed"/>
      <family val="1"/>
    </font>
    <font>
      <sz val="18"/>
      <color theme="1"/>
      <name val="Calibri"/>
      <family val="2"/>
    </font>
    <font>
      <b/>
      <sz val="12"/>
      <color theme="9"/>
      <name val="Calibri"/>
      <family val="2"/>
    </font>
  </fonts>
  <fills count="8">
    <fill>
      <patternFill patternType="none"/>
    </fill>
    <fill>
      <patternFill patternType="gray125"/>
    </fill>
    <fill>
      <patternFill patternType="solid">
        <fgColor rgb="FFFFFDF5"/>
        <bgColor rgb="FFFFFFCC"/>
      </patternFill>
    </fill>
    <fill>
      <patternFill patternType="solid">
        <fgColor rgb="FF92D05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FFFF"/>
        <bgColor indexed="64"/>
      </patternFill>
    </fill>
  </fills>
  <borders count="3">
    <border>
      <left/>
      <right/>
      <top/>
      <bottom/>
      <diagonal/>
    </border>
    <border>
      <left style="thin">
        <color rgb="FFC9D6E0"/>
      </left>
      <right style="thin">
        <color rgb="FFC9D6E0"/>
      </right>
      <top style="thin">
        <color rgb="FFC9D6E0"/>
      </top>
      <bottom style="thin">
        <color rgb="FFC9D6E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1">
    <xf numFmtId="0" fontId="0" fillId="0" borderId="0" xfId="0"/>
    <xf numFmtId="0" fontId="13" fillId="0" borderId="0" xfId="0" applyFo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0" fillId="2" borderId="1" xfId="0" applyFill="1" applyBorder="1" applyAlignment="1">
      <alignment horizontal="center" vertical="center"/>
    </xf>
    <xf numFmtId="0" fontId="14" fillId="0" borderId="1" xfId="0" applyFont="1" applyBorder="1" applyAlignment="1">
      <alignment vertical="center" wrapText="1"/>
    </xf>
    <xf numFmtId="0" fontId="0" fillId="2" borderId="1" xfId="0" applyFill="1" applyBorder="1"/>
    <xf numFmtId="0" fontId="15" fillId="0" borderId="0" xfId="0" applyFont="1"/>
    <xf numFmtId="0" fontId="16" fillId="0" borderId="0" xfId="0" applyFont="1"/>
    <xf numFmtId="0" fontId="14" fillId="2" borderId="1" xfId="0" applyFont="1" applyFill="1" applyBorder="1" applyAlignment="1">
      <alignment vertical="top" wrapText="1"/>
    </xf>
    <xf numFmtId="0" fontId="17" fillId="0" borderId="0" xfId="0" applyFont="1"/>
    <xf numFmtId="0" fontId="20" fillId="0" borderId="0" xfId="0" applyFont="1"/>
    <xf numFmtId="0" fontId="22" fillId="0" borderId="0" xfId="0" applyFont="1"/>
    <xf numFmtId="0" fontId="21" fillId="0" borderId="0" xfId="0" applyFont="1"/>
    <xf numFmtId="0" fontId="23" fillId="0" borderId="0" xfId="0" applyFont="1"/>
    <xf numFmtId="0" fontId="0" fillId="0" borderId="0" xfId="0" applyAlignment="1">
      <alignment horizontal="center"/>
    </xf>
    <xf numFmtId="0" fontId="18" fillId="0" borderId="0" xfId="0" applyFont="1"/>
    <xf numFmtId="0" fontId="24" fillId="0" borderId="0" xfId="0" applyFont="1" applyAlignment="1">
      <alignment wrapText="1"/>
    </xf>
    <xf numFmtId="0" fontId="19" fillId="0" borderId="0" xfId="0" applyFont="1" applyAlignment="1">
      <alignment horizontal="center"/>
    </xf>
    <xf numFmtId="164" fontId="0" fillId="3" borderId="0" xfId="0" applyNumberFormat="1" applyFill="1"/>
    <xf numFmtId="0" fontId="25" fillId="0" borderId="0" xfId="0" applyFont="1"/>
    <xf numFmtId="0" fontId="25" fillId="3" borderId="0" xfId="0" applyFont="1" applyFill="1" applyAlignment="1">
      <alignment horizontal="center"/>
    </xf>
    <xf numFmtId="0" fontId="0" fillId="4" borderId="0" xfId="0" applyFill="1" applyAlignment="1">
      <alignment horizontal="center"/>
    </xf>
    <xf numFmtId="0" fontId="27" fillId="0" borderId="0" xfId="0" applyFont="1" applyAlignment="1">
      <alignment wrapText="1"/>
    </xf>
    <xf numFmtId="0" fontId="27" fillId="0" borderId="0" xfId="0" applyFont="1" applyAlignment="1">
      <alignment vertical="top" wrapText="1"/>
    </xf>
    <xf numFmtId="0" fontId="19" fillId="0" borderId="0" xfId="0" applyFont="1" applyAlignment="1">
      <alignment vertical="top" wrapText="1"/>
    </xf>
    <xf numFmtId="0" fontId="25" fillId="6" borderId="0" xfId="0" applyFont="1" applyFill="1" applyAlignment="1">
      <alignment horizontal="center"/>
    </xf>
    <xf numFmtId="164" fontId="0" fillId="6" borderId="0" xfId="0" applyNumberFormat="1" applyFill="1"/>
    <xf numFmtId="0" fontId="25" fillId="6" borderId="0" xfId="0" applyFont="1" applyFill="1"/>
    <xf numFmtId="0" fontId="29" fillId="5" borderId="0" xfId="0" applyFont="1" applyFill="1" applyAlignment="1">
      <alignment horizontal="center"/>
    </xf>
    <xf numFmtId="0" fontId="25" fillId="0" borderId="0" xfId="0" applyFont="1" applyAlignment="1">
      <alignment horizontal="center"/>
    </xf>
    <xf numFmtId="0" fontId="19" fillId="0" borderId="0" xfId="0" applyFont="1" applyAlignment="1">
      <alignment wrapText="1"/>
    </xf>
    <xf numFmtId="10" fontId="0" fillId="5" borderId="0" xfId="0" applyNumberFormat="1" applyFill="1" applyAlignment="1">
      <alignment horizontal="center"/>
    </xf>
    <xf numFmtId="0" fontId="34" fillId="0" borderId="0" xfId="0" applyFont="1" applyAlignment="1">
      <alignment horizontal="center"/>
    </xf>
    <xf numFmtId="0" fontId="22" fillId="0" borderId="2" xfId="0" applyFont="1" applyBorder="1"/>
    <xf numFmtId="0" fontId="18" fillId="0" borderId="2" xfId="0" applyFont="1" applyBorder="1"/>
    <xf numFmtId="0" fontId="22" fillId="0" borderId="2" xfId="0" applyFont="1" applyBorder="1" applyAlignment="1">
      <alignment vertical="center"/>
    </xf>
    <xf numFmtId="0" fontId="0" fillId="0" borderId="2" xfId="0" applyBorder="1" applyAlignment="1">
      <alignment wrapText="1"/>
    </xf>
    <xf numFmtId="164" fontId="0" fillId="0" borderId="2" xfId="0" applyNumberFormat="1" applyBorder="1"/>
    <xf numFmtId="0" fontId="0" fillId="0" borderId="2" xfId="0" applyBorder="1"/>
    <xf numFmtId="0" fontId="22" fillId="0" borderId="2" xfId="0" applyFont="1" applyBorder="1" applyAlignment="1">
      <alignment horizontal="left" vertical="center"/>
    </xf>
    <xf numFmtId="164" fontId="32" fillId="7" borderId="2" xfId="0" applyNumberFormat="1" applyFont="1" applyFill="1" applyBorder="1" applyAlignment="1">
      <alignment horizontal="right" vertical="center" wrapText="1"/>
    </xf>
    <xf numFmtId="0" fontId="22" fillId="0" borderId="2" xfId="0" applyFont="1" applyBorder="1" applyAlignment="1">
      <alignment wrapText="1"/>
    </xf>
    <xf numFmtId="0" fontId="33" fillId="0" borderId="2" xfId="0" applyFont="1" applyBorder="1" applyAlignment="1">
      <alignment wrapText="1"/>
    </xf>
    <xf numFmtId="0" fontId="19" fillId="0" borderId="2" xfId="0" applyFont="1" applyBorder="1"/>
    <xf numFmtId="0" fontId="35" fillId="0" borderId="0" xfId="0" applyFont="1" applyAlignment="1">
      <alignment horizontal="center"/>
    </xf>
    <xf numFmtId="0" fontId="36" fillId="2" borderId="1" xfId="0" applyFont="1" applyFill="1" applyBorder="1" applyAlignment="1">
      <alignment vertical="top" wrapText="1"/>
    </xf>
    <xf numFmtId="0" fontId="28" fillId="0" borderId="0" xfId="0" applyFont="1" applyAlignment="1">
      <alignment horizontal="center"/>
    </xf>
    <xf numFmtId="0" fontId="19" fillId="0" borderId="0" xfId="0" applyFont="1"/>
    <xf numFmtId="0" fontId="39" fillId="0" borderId="0" xfId="0" applyFont="1"/>
    <xf numFmtId="0" fontId="41" fillId="0" borderId="0" xfId="0" applyFont="1" applyAlignment="1">
      <alignment horizontal="center"/>
    </xf>
    <xf numFmtId="0" fontId="25" fillId="4" borderId="0" xfId="0" applyFont="1" applyFill="1" applyAlignment="1">
      <alignment horizontal="center"/>
    </xf>
    <xf numFmtId="0" fontId="42" fillId="0" borderId="0" xfId="0" applyFont="1" applyAlignment="1">
      <alignment horizontal="center"/>
    </xf>
    <xf numFmtId="0" fontId="43" fillId="0" borderId="0" xfId="0" applyFont="1"/>
    <xf numFmtId="0" fontId="44" fillId="0" borderId="0" xfId="0" applyFont="1"/>
    <xf numFmtId="0" fontId="13" fillId="0" borderId="0" xfId="0" applyFont="1"/>
    <xf numFmtId="0" fontId="38" fillId="0" borderId="0" xfId="0" applyFont="1" applyAlignment="1">
      <alignment horizontal="center"/>
    </xf>
    <xf numFmtId="0" fontId="44" fillId="0" borderId="0" xfId="0" applyFont="1" applyAlignment="1">
      <alignment horizontal="left"/>
    </xf>
    <xf numFmtId="0" fontId="28" fillId="0" borderId="0" xfId="0" applyFont="1" applyAlignment="1">
      <alignment horizontal="center"/>
    </xf>
    <xf numFmtId="0" fontId="19" fillId="0" borderId="0" xfId="0" applyFont="1" applyAlignment="1">
      <alignment horizontal="center"/>
    </xf>
    <xf numFmtId="0" fontId="41"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DF5"/>
      <rgbColor rgb="FFFF0000"/>
      <rgbColor rgb="FF00FF00"/>
      <rgbColor rgb="FF0000FF"/>
      <rgbColor rgb="FFFFFF00"/>
      <rgbColor rgb="FFFF00FF"/>
      <rgbColor rgb="FF00FFFF"/>
      <rgbColor rgb="FF800000"/>
      <rgbColor rgb="FF008000"/>
      <rgbColor rgb="FF000080"/>
      <rgbColor rgb="FF808000"/>
      <rgbColor rgb="FF800080"/>
      <rgbColor rgb="FF1C7293"/>
      <rgbColor rgb="FFC0C0C0"/>
      <rgbColor rgb="FF808080"/>
      <rgbColor rgb="FF9999FF"/>
      <rgbColor rgb="FF993366"/>
      <rgbColor rgb="FFFFFFCC"/>
      <rgbColor rgb="FFCCFFFF"/>
      <rgbColor rgb="FF660066"/>
      <rgbColor rgb="FFFF8080"/>
      <rgbColor rgb="FF0066CC"/>
      <rgbColor rgb="FFC9D6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B7B"/>
      <rgbColor rgb="FF969696"/>
      <rgbColor rgb="FF0E2A47"/>
      <rgbColor rgb="FF339966"/>
      <rgbColor rgb="FF003300"/>
      <rgbColor rgb="FF333300"/>
      <rgbColor rgb="FFC0392B"/>
      <rgbColor rgb="FF993366"/>
      <rgbColor rgb="FF12507E"/>
      <rgbColor rgb="FF1724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Agency FB" panose="020B0503020202020204" pitchFamily="34" charset="0"/>
                <a:ea typeface="+mn-ea"/>
                <a:cs typeface="+mn-cs"/>
              </a:defRPr>
            </a:pPr>
            <a:r>
              <a:rPr lang="en-US" b="1" i="1">
                <a:latin typeface="Agency FB" panose="020B0503020202020204" pitchFamily="34" charset="0"/>
              </a:rPr>
              <a:t>Revenue,</a:t>
            </a:r>
            <a:r>
              <a:rPr lang="en-US" b="1" i="1" baseline="0">
                <a:latin typeface="Agency FB" panose="020B0503020202020204" pitchFamily="34" charset="0"/>
              </a:rPr>
              <a:t> Profit &amp; Orders by Product Category</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lotArea>
      <c:layout/>
      <c:barChart>
        <c:barDir val="col"/>
        <c:grouping val="clustered"/>
        <c:varyColors val="0"/>
        <c:ser>
          <c:idx val="0"/>
          <c:order val="0"/>
          <c:tx>
            <c:strRef>
              <c:f>'THE RESULT(FINDINGS)'!$B$7</c:f>
              <c:strCache>
                <c:ptCount val="1"/>
                <c:pt idx="0">
                  <c:v>REVENUE</c:v>
                </c:pt>
              </c:strCache>
            </c:strRef>
          </c:tx>
          <c:spPr>
            <a:solidFill>
              <a:schemeClr val="accent1"/>
            </a:solidFill>
            <a:ln>
              <a:noFill/>
            </a:ln>
            <a:effectLst/>
          </c:spPr>
          <c:invertIfNegative val="0"/>
          <c:cat>
            <c:strRef>
              <c:f>'THE RESULT(FINDINGS)'!$A$8:$A$13</c:f>
              <c:strCache>
                <c:ptCount val="6"/>
                <c:pt idx="0">
                  <c:v>Groceries</c:v>
                </c:pt>
                <c:pt idx="1">
                  <c:v>Fashion</c:v>
                </c:pt>
                <c:pt idx="2">
                  <c:v>Electronic</c:v>
                </c:pt>
                <c:pt idx="3">
                  <c:v>Home</c:v>
                </c:pt>
                <c:pt idx="4">
                  <c:v>Textiles</c:v>
                </c:pt>
                <c:pt idx="5">
                  <c:v>Beauty</c:v>
                </c:pt>
              </c:strCache>
            </c:strRef>
          </c:cat>
          <c:val>
            <c:numRef>
              <c:f>'THE RESULT(FINDINGS)'!$B$8:$B$13</c:f>
              <c:numCache>
                <c:formatCode>[$₦-466]\ #,##0.00</c:formatCode>
                <c:ptCount val="6"/>
                <c:pt idx="0">
                  <c:v>8435220</c:v>
                </c:pt>
                <c:pt idx="1">
                  <c:v>8019400</c:v>
                </c:pt>
                <c:pt idx="2">
                  <c:v>6400325</c:v>
                </c:pt>
                <c:pt idx="3">
                  <c:v>4041600</c:v>
                </c:pt>
                <c:pt idx="4">
                  <c:v>3916000</c:v>
                </c:pt>
                <c:pt idx="5">
                  <c:v>682380</c:v>
                </c:pt>
              </c:numCache>
            </c:numRef>
          </c:val>
          <c:extLst>
            <c:ext xmlns:c16="http://schemas.microsoft.com/office/drawing/2014/chart" uri="{C3380CC4-5D6E-409C-BE32-E72D297353CC}">
              <c16:uniqueId val="{00000000-2C50-468B-8F09-377A89B72924}"/>
            </c:ext>
          </c:extLst>
        </c:ser>
        <c:ser>
          <c:idx val="1"/>
          <c:order val="1"/>
          <c:tx>
            <c:strRef>
              <c:f>'THE RESULT(FINDINGS)'!$C$7</c:f>
              <c:strCache>
                <c:ptCount val="1"/>
                <c:pt idx="0">
                  <c:v>PROFIT</c:v>
                </c:pt>
              </c:strCache>
            </c:strRef>
          </c:tx>
          <c:spPr>
            <a:solidFill>
              <a:schemeClr val="accent2"/>
            </a:solidFill>
            <a:ln>
              <a:noFill/>
            </a:ln>
            <a:effectLst/>
          </c:spPr>
          <c:invertIfNegative val="0"/>
          <c:cat>
            <c:strRef>
              <c:f>'THE RESULT(FINDINGS)'!$A$8:$A$13</c:f>
              <c:strCache>
                <c:ptCount val="6"/>
                <c:pt idx="0">
                  <c:v>Groceries</c:v>
                </c:pt>
                <c:pt idx="1">
                  <c:v>Fashion</c:v>
                </c:pt>
                <c:pt idx="2">
                  <c:v>Electronic</c:v>
                </c:pt>
                <c:pt idx="3">
                  <c:v>Home</c:v>
                </c:pt>
                <c:pt idx="4">
                  <c:v>Textiles</c:v>
                </c:pt>
                <c:pt idx="5">
                  <c:v>Beauty</c:v>
                </c:pt>
              </c:strCache>
            </c:strRef>
          </c:cat>
          <c:val>
            <c:numRef>
              <c:f>'THE RESULT(FINDINGS)'!$C$8:$C$13</c:f>
              <c:numCache>
                <c:formatCode>[$₦-466]\ #,##0.00</c:formatCode>
                <c:ptCount val="6"/>
                <c:pt idx="0">
                  <c:v>1309620</c:v>
                </c:pt>
                <c:pt idx="1">
                  <c:v>3082400</c:v>
                </c:pt>
                <c:pt idx="2">
                  <c:v>2281425</c:v>
                </c:pt>
                <c:pt idx="3">
                  <c:v>1463100</c:v>
                </c:pt>
                <c:pt idx="4">
                  <c:v>1351300</c:v>
                </c:pt>
                <c:pt idx="5">
                  <c:v>288480</c:v>
                </c:pt>
              </c:numCache>
            </c:numRef>
          </c:val>
          <c:extLst>
            <c:ext xmlns:c16="http://schemas.microsoft.com/office/drawing/2014/chart" uri="{C3380CC4-5D6E-409C-BE32-E72D297353CC}">
              <c16:uniqueId val="{00000001-2C50-468B-8F09-377A89B72924}"/>
            </c:ext>
          </c:extLst>
        </c:ser>
        <c:ser>
          <c:idx val="2"/>
          <c:order val="2"/>
          <c:tx>
            <c:strRef>
              <c:f>'THE RESULT(FINDINGS)'!$D$7</c:f>
              <c:strCache>
                <c:ptCount val="1"/>
                <c:pt idx="0">
                  <c:v>ORDER COUNT</c:v>
                </c:pt>
              </c:strCache>
            </c:strRef>
          </c:tx>
          <c:spPr>
            <a:solidFill>
              <a:schemeClr val="accent3"/>
            </a:solidFill>
            <a:ln>
              <a:noFill/>
            </a:ln>
            <a:effectLst/>
          </c:spPr>
          <c:invertIfNegative val="0"/>
          <c:cat>
            <c:strRef>
              <c:f>'THE RESULT(FINDINGS)'!$A$8:$A$13</c:f>
              <c:strCache>
                <c:ptCount val="6"/>
                <c:pt idx="0">
                  <c:v>Groceries</c:v>
                </c:pt>
                <c:pt idx="1">
                  <c:v>Fashion</c:v>
                </c:pt>
                <c:pt idx="2">
                  <c:v>Electronic</c:v>
                </c:pt>
                <c:pt idx="3">
                  <c:v>Home</c:v>
                </c:pt>
                <c:pt idx="4">
                  <c:v>Textiles</c:v>
                </c:pt>
                <c:pt idx="5">
                  <c:v>Beauty</c:v>
                </c:pt>
              </c:strCache>
            </c:strRef>
          </c:cat>
          <c:val>
            <c:numRef>
              <c:f>'THE RESULT(FINDINGS)'!$D$8:$D$13</c:f>
              <c:numCache>
                <c:formatCode>General</c:formatCode>
                <c:ptCount val="6"/>
                <c:pt idx="0">
                  <c:v>83</c:v>
                </c:pt>
                <c:pt idx="1">
                  <c:v>73</c:v>
                </c:pt>
                <c:pt idx="2">
                  <c:v>103</c:v>
                </c:pt>
                <c:pt idx="3">
                  <c:v>62</c:v>
                </c:pt>
                <c:pt idx="4">
                  <c:v>57</c:v>
                </c:pt>
                <c:pt idx="5">
                  <c:v>28</c:v>
                </c:pt>
              </c:numCache>
            </c:numRef>
          </c:val>
          <c:extLst>
            <c:ext xmlns:c16="http://schemas.microsoft.com/office/drawing/2014/chart" uri="{C3380CC4-5D6E-409C-BE32-E72D297353CC}">
              <c16:uniqueId val="{00000002-2C50-468B-8F09-377A89B72924}"/>
            </c:ext>
          </c:extLst>
        </c:ser>
        <c:dLbls>
          <c:showLegendKey val="0"/>
          <c:showVal val="0"/>
          <c:showCatName val="0"/>
          <c:showSerName val="0"/>
          <c:showPercent val="0"/>
          <c:showBubbleSize val="0"/>
        </c:dLbls>
        <c:gapWidth val="219"/>
        <c:overlap val="-27"/>
        <c:axId val="1942826160"/>
        <c:axId val="1942830480"/>
      </c:barChart>
      <c:catAx>
        <c:axId val="194282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30480"/>
        <c:crosses val="autoZero"/>
        <c:auto val="1"/>
        <c:lblAlgn val="ctr"/>
        <c:lblOffset val="100"/>
        <c:noMultiLvlLbl val="0"/>
      </c:catAx>
      <c:valAx>
        <c:axId val="1942830480"/>
        <c:scaling>
          <c:orientation val="minMax"/>
        </c:scaling>
        <c:delete val="0"/>
        <c:axPos val="l"/>
        <c:majorGridlines>
          <c:spPr>
            <a:ln w="9525" cap="flat" cmpd="sng" algn="ctr">
              <a:solidFill>
                <a:schemeClr val="tx1">
                  <a:lumMod val="15000"/>
                  <a:lumOff val="85000"/>
                </a:schemeClr>
              </a:solidFill>
              <a:round/>
            </a:ln>
            <a:effectLst/>
          </c:spPr>
        </c:majorGridlines>
        <c:numFmt formatCode="[$₦-46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26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733426</xdr:colOff>
      <xdr:row>5</xdr:row>
      <xdr:rowOff>14288</xdr:rowOff>
    </xdr:from>
    <xdr:to>
      <xdr:col>13</xdr:col>
      <xdr:colOff>447675</xdr:colOff>
      <xdr:row>16</xdr:row>
      <xdr:rowOff>163286</xdr:rowOff>
    </xdr:to>
    <xdr:graphicFrame macro="">
      <xdr:nvGraphicFramePr>
        <xdr:cNvPr id="3" name="Chart 2">
          <a:extLst>
            <a:ext uri="{FF2B5EF4-FFF2-40B4-BE49-F238E27FC236}">
              <a16:creationId xmlns:a16="http://schemas.microsoft.com/office/drawing/2014/main" id="{7F69AE94-01C9-734C-103E-ABE7CD7F6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33"/>
  <sheetViews>
    <sheetView topLeftCell="A13" zoomScaleNormal="100" workbookViewId="0"/>
  </sheetViews>
  <sheetFormatPr defaultColWidth="8.7109375" defaultRowHeight="15" x14ac:dyDescent="0.25"/>
  <cols>
    <col min="1" max="1" width="108" customWidth="1"/>
  </cols>
  <sheetData>
    <row r="1" spans="1:1" ht="19.5" x14ac:dyDescent="0.3">
      <c r="A1" s="2" t="s">
        <v>0</v>
      </c>
    </row>
    <row r="2" spans="1:1" x14ac:dyDescent="0.25">
      <c r="A2" s="3" t="s">
        <v>1</v>
      </c>
    </row>
    <row r="3" spans="1:1" x14ac:dyDescent="0.25">
      <c r="A3" s="4"/>
    </row>
    <row r="4" spans="1:1" ht="15.75" x14ac:dyDescent="0.25">
      <c r="A4" s="5" t="s">
        <v>2</v>
      </c>
    </row>
    <row r="5" spans="1:1" x14ac:dyDescent="0.25">
      <c r="A5" s="6" t="s">
        <v>3</v>
      </c>
    </row>
    <row r="6" spans="1:1" x14ac:dyDescent="0.25">
      <c r="A6" s="6" t="s">
        <v>4</v>
      </c>
    </row>
    <row r="7" spans="1:1" x14ac:dyDescent="0.25">
      <c r="A7" s="6" t="s">
        <v>5</v>
      </c>
    </row>
    <row r="8" spans="1:1" x14ac:dyDescent="0.25">
      <c r="A8" s="7" t="s">
        <v>6</v>
      </c>
    </row>
    <row r="9" spans="1:1" x14ac:dyDescent="0.25">
      <c r="A9" s="4"/>
    </row>
    <row r="10" spans="1:1" ht="15.75" x14ac:dyDescent="0.25">
      <c r="A10" s="5" t="s">
        <v>7</v>
      </c>
    </row>
    <row r="11" spans="1:1" x14ac:dyDescent="0.25">
      <c r="A11" s="6" t="s">
        <v>8</v>
      </c>
    </row>
    <row r="12" spans="1:1" x14ac:dyDescent="0.25">
      <c r="A12" s="6" t="s">
        <v>9</v>
      </c>
    </row>
    <row r="13" spans="1:1" x14ac:dyDescent="0.25">
      <c r="A13" s="6" t="s">
        <v>10</v>
      </c>
    </row>
    <row r="14" spans="1:1" x14ac:dyDescent="0.25">
      <c r="A14" s="6" t="s">
        <v>11</v>
      </c>
    </row>
    <row r="15" spans="1:1" x14ac:dyDescent="0.25">
      <c r="A15" s="4"/>
    </row>
    <row r="16" spans="1:1" x14ac:dyDescent="0.25">
      <c r="A16" s="3" t="s">
        <v>12</v>
      </c>
    </row>
    <row r="17" spans="1:1" x14ac:dyDescent="0.25">
      <c r="A17" s="4"/>
    </row>
    <row r="18" spans="1:1" ht="15.75" x14ac:dyDescent="0.25">
      <c r="A18" s="5" t="s">
        <v>13</v>
      </c>
    </row>
    <row r="19" spans="1:1" x14ac:dyDescent="0.25">
      <c r="A19" s="6" t="s">
        <v>14</v>
      </c>
    </row>
    <row r="20" spans="1:1" x14ac:dyDescent="0.25">
      <c r="A20" s="6" t="s">
        <v>15</v>
      </c>
    </row>
    <row r="21" spans="1:1" x14ac:dyDescent="0.25">
      <c r="A21" s="6" t="s">
        <v>16</v>
      </c>
    </row>
    <row r="22" spans="1:1" x14ac:dyDescent="0.25">
      <c r="A22" s="4"/>
    </row>
    <row r="23" spans="1:1" x14ac:dyDescent="0.25">
      <c r="A23" s="8" t="s">
        <v>17</v>
      </c>
    </row>
    <row r="24" spans="1:1" x14ac:dyDescent="0.25">
      <c r="A24" s="4"/>
    </row>
    <row r="25" spans="1:1" ht="15.75" x14ac:dyDescent="0.25">
      <c r="A25" s="9" t="s">
        <v>18</v>
      </c>
    </row>
    <row r="26" spans="1:1" ht="15.75" x14ac:dyDescent="0.25">
      <c r="A26" s="10" t="s">
        <v>19</v>
      </c>
    </row>
    <row r="27" spans="1:1" x14ac:dyDescent="0.25">
      <c r="A27" s="6" t="s">
        <v>20</v>
      </c>
    </row>
    <row r="28" spans="1:1" x14ac:dyDescent="0.25">
      <c r="A28" s="4"/>
    </row>
    <row r="29" spans="1:1" ht="15.75" x14ac:dyDescent="0.25">
      <c r="A29" s="5" t="s">
        <v>21</v>
      </c>
    </row>
    <row r="30" spans="1:1" x14ac:dyDescent="0.25">
      <c r="A30" s="11" t="s">
        <v>22</v>
      </c>
    </row>
    <row r="31" spans="1:1" x14ac:dyDescent="0.25">
      <c r="A31" s="11" t="s">
        <v>23</v>
      </c>
    </row>
    <row r="32" spans="1:1" x14ac:dyDescent="0.25">
      <c r="A32" s="4"/>
    </row>
    <row r="33" spans="1:1" x14ac:dyDescent="0.25">
      <c r="A33" s="3" t="s">
        <v>24</v>
      </c>
    </row>
  </sheetData>
  <pageMargins left="0.75" right="0.75" top="1" bottom="1" header="0.511811023622047" footer="0.511811023622047"/>
  <pageSetup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25"/>
  <sheetViews>
    <sheetView topLeftCell="A8" zoomScaleNormal="100" workbookViewId="0">
      <selection activeCell="A16" sqref="A16:C16"/>
    </sheetView>
  </sheetViews>
  <sheetFormatPr defaultColWidth="8.7109375" defaultRowHeight="15" x14ac:dyDescent="0.25"/>
  <cols>
    <col min="1" max="1" width="28.5703125" customWidth="1"/>
    <col min="2" max="2" width="62" customWidth="1"/>
    <col min="3" max="3" width="26" customWidth="1"/>
  </cols>
  <sheetData>
    <row r="1" spans="1:3" x14ac:dyDescent="0.25">
      <c r="A1" s="12" t="s">
        <v>25</v>
      </c>
    </row>
    <row r="2" spans="1:3" ht="19.5" x14ac:dyDescent="0.3">
      <c r="A2" s="2" t="s">
        <v>26</v>
      </c>
    </row>
    <row r="3" spans="1:3" x14ac:dyDescent="0.25">
      <c r="A3" s="13" t="s">
        <v>27</v>
      </c>
    </row>
    <row r="5" spans="1:3" ht="21.75" customHeight="1" x14ac:dyDescent="0.25">
      <c r="A5" s="65" t="s">
        <v>28</v>
      </c>
      <c r="B5" s="65"/>
      <c r="C5" s="65"/>
    </row>
    <row r="6" spans="1:3" ht="19.5" customHeight="1" x14ac:dyDescent="0.25">
      <c r="A6" s="14"/>
      <c r="B6" s="15" t="s">
        <v>29</v>
      </c>
      <c r="C6" s="16"/>
    </row>
    <row r="7" spans="1:3" ht="19.5" customHeight="1" x14ac:dyDescent="0.25">
      <c r="A7" s="14"/>
      <c r="B7" s="15" t="s">
        <v>30</v>
      </c>
      <c r="C7" s="16"/>
    </row>
    <row r="8" spans="1:3" ht="21.75" customHeight="1" x14ac:dyDescent="0.25">
      <c r="A8" s="65" t="s">
        <v>31</v>
      </c>
      <c r="B8" s="65"/>
      <c r="C8" s="65"/>
    </row>
    <row r="9" spans="1:3" ht="19.5" customHeight="1" x14ac:dyDescent="0.25">
      <c r="A9" s="14"/>
      <c r="B9" s="15" t="s">
        <v>32</v>
      </c>
      <c r="C9" s="16"/>
    </row>
    <row r="10" spans="1:3" ht="25.5" customHeight="1" x14ac:dyDescent="0.25">
      <c r="A10" s="14"/>
      <c r="B10" s="15" t="s">
        <v>33</v>
      </c>
      <c r="C10" s="16"/>
    </row>
    <row r="11" spans="1:3" ht="19.5" customHeight="1" x14ac:dyDescent="0.25">
      <c r="A11" s="14"/>
      <c r="B11" s="15" t="s">
        <v>34</v>
      </c>
      <c r="C11" s="16"/>
    </row>
    <row r="12" spans="1:3" ht="19.5" customHeight="1" x14ac:dyDescent="0.25">
      <c r="A12" s="14"/>
      <c r="B12" s="15" t="s">
        <v>35</v>
      </c>
      <c r="C12" s="16"/>
    </row>
    <row r="13" spans="1:3" ht="19.5" customHeight="1" x14ac:dyDescent="0.25">
      <c r="A13" s="14"/>
      <c r="B13" s="15" t="s">
        <v>36</v>
      </c>
      <c r="C13" s="16"/>
    </row>
    <row r="14" spans="1:3" ht="19.5" customHeight="1" x14ac:dyDescent="0.25">
      <c r="A14" s="14"/>
      <c r="B14" s="15" t="s">
        <v>37</v>
      </c>
      <c r="C14" s="16"/>
    </row>
    <row r="15" spans="1:3" ht="19.5" customHeight="1" x14ac:dyDescent="0.25">
      <c r="A15" s="14"/>
      <c r="B15" s="15" t="s">
        <v>38</v>
      </c>
      <c r="C15" s="16"/>
    </row>
    <row r="16" spans="1:3" ht="21.75" customHeight="1" x14ac:dyDescent="0.25">
      <c r="A16" s="65" t="s">
        <v>39</v>
      </c>
      <c r="B16" s="65"/>
      <c r="C16" s="65"/>
    </row>
    <row r="17" spans="1:3" ht="19.5" customHeight="1" x14ac:dyDescent="0.25">
      <c r="A17" s="14"/>
      <c r="B17" s="15" t="s">
        <v>40</v>
      </c>
      <c r="C17" s="16"/>
    </row>
    <row r="18" spans="1:3" ht="19.5" customHeight="1" x14ac:dyDescent="0.25">
      <c r="A18" s="14"/>
      <c r="B18" s="15" t="s">
        <v>41</v>
      </c>
      <c r="C18" s="16"/>
    </row>
    <row r="19" spans="1:3" ht="19.5" customHeight="1" x14ac:dyDescent="0.25">
      <c r="A19" s="14"/>
      <c r="B19" s="15" t="s">
        <v>42</v>
      </c>
      <c r="C19" s="16"/>
    </row>
    <row r="20" spans="1:3" ht="19.5" customHeight="1" x14ac:dyDescent="0.25">
      <c r="A20" s="14"/>
      <c r="B20" s="15" t="s">
        <v>43</v>
      </c>
      <c r="C20" s="16"/>
    </row>
    <row r="21" spans="1:3" ht="21.75" customHeight="1" x14ac:dyDescent="0.25">
      <c r="A21" s="65" t="s">
        <v>44</v>
      </c>
      <c r="B21" s="65"/>
      <c r="C21" s="65"/>
    </row>
    <row r="22" spans="1:3" ht="19.5" customHeight="1" x14ac:dyDescent="0.25">
      <c r="A22" s="14"/>
      <c r="B22" s="15" t="s">
        <v>45</v>
      </c>
      <c r="C22" s="16"/>
    </row>
    <row r="23" spans="1:3" ht="19.5" customHeight="1" x14ac:dyDescent="0.25">
      <c r="A23" s="14"/>
      <c r="B23" s="15" t="s">
        <v>46</v>
      </c>
      <c r="C23" s="16"/>
    </row>
    <row r="24" spans="1:3" ht="19.5" customHeight="1" x14ac:dyDescent="0.25">
      <c r="A24" s="14"/>
      <c r="B24" s="15" t="s">
        <v>47</v>
      </c>
      <c r="C24" s="16"/>
    </row>
    <row r="25" spans="1:3" ht="19.5" customHeight="1" x14ac:dyDescent="0.25">
      <c r="A25" s="14"/>
      <c r="B25" s="15" t="s">
        <v>48</v>
      </c>
      <c r="C25" s="16"/>
    </row>
  </sheetData>
  <mergeCells count="4">
    <mergeCell ref="A5:C5"/>
    <mergeCell ref="A8:C8"/>
    <mergeCell ref="A16:C16"/>
    <mergeCell ref="A21:C21"/>
  </mergeCells>
  <pageMargins left="0.75" right="0.75" top="1" bottom="1" header="0.511811023622047" footer="0.511811023622047"/>
  <pageSetup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688FB-4BD8-4232-807B-79632B64590A}">
  <dimension ref="A2:C33"/>
  <sheetViews>
    <sheetView workbookViewId="0">
      <selection activeCell="E4" sqref="E4"/>
    </sheetView>
  </sheetViews>
  <sheetFormatPr defaultRowHeight="15" x14ac:dyDescent="0.25"/>
  <cols>
    <col min="1" max="1" width="16.28515625" customWidth="1"/>
    <col min="2" max="2" width="64.28515625" customWidth="1"/>
    <col min="3" max="3" width="17.28515625" bestFit="1" customWidth="1"/>
  </cols>
  <sheetData>
    <row r="2" spans="1:3" ht="27" x14ac:dyDescent="0.45">
      <c r="A2" s="24" t="s">
        <v>62</v>
      </c>
    </row>
    <row r="3" spans="1:3" ht="26.25" x14ac:dyDescent="0.4">
      <c r="A3" s="23" t="s">
        <v>63</v>
      </c>
    </row>
    <row r="4" spans="1:3" ht="26.25" x14ac:dyDescent="0.4">
      <c r="A4" s="23"/>
    </row>
    <row r="5" spans="1:3" ht="20.25" customHeight="1" x14ac:dyDescent="0.35">
      <c r="A5" s="22" t="s">
        <v>64</v>
      </c>
    </row>
    <row r="6" spans="1:3" ht="20.25" customHeight="1" x14ac:dyDescent="0.35">
      <c r="A6" s="22"/>
    </row>
    <row r="7" spans="1:3" ht="20.25" customHeight="1" x14ac:dyDescent="0.35">
      <c r="A7" s="22"/>
      <c r="B7" s="43" t="s">
        <v>96</v>
      </c>
    </row>
    <row r="8" spans="1:3" ht="20.25" customHeight="1" x14ac:dyDescent="0.35">
      <c r="A8" s="44"/>
      <c r="B8" s="45" t="s">
        <v>99</v>
      </c>
      <c r="C8" s="45" t="s">
        <v>98</v>
      </c>
    </row>
    <row r="9" spans="1:3" ht="63" customHeight="1" x14ac:dyDescent="0.25">
      <c r="A9" s="46" t="s">
        <v>72</v>
      </c>
      <c r="B9" s="47" t="s">
        <v>97</v>
      </c>
      <c r="C9" s="48">
        <v>31494925</v>
      </c>
    </row>
    <row r="10" spans="1:3" ht="20.25" customHeight="1" x14ac:dyDescent="0.35">
      <c r="A10" s="44"/>
      <c r="B10" s="49"/>
      <c r="C10" s="49"/>
    </row>
    <row r="11" spans="1:3" ht="78" customHeight="1" x14ac:dyDescent="0.25">
      <c r="A11" s="50" t="s">
        <v>73</v>
      </c>
      <c r="B11" s="47" t="s">
        <v>100</v>
      </c>
      <c r="C11" s="51">
        <v>9776325</v>
      </c>
    </row>
    <row r="12" spans="1:3" ht="20.25" customHeight="1" x14ac:dyDescent="0.35">
      <c r="A12" s="44"/>
      <c r="B12" s="49"/>
      <c r="C12" s="49"/>
    </row>
    <row r="13" spans="1:3" ht="47.25" customHeight="1" x14ac:dyDescent="0.35">
      <c r="A13" s="52" t="s">
        <v>102</v>
      </c>
      <c r="B13" s="53" t="s">
        <v>103</v>
      </c>
      <c r="C13" s="54">
        <v>406</v>
      </c>
    </row>
    <row r="14" spans="1:3" ht="20.25" customHeight="1" x14ac:dyDescent="0.35">
      <c r="A14" s="44"/>
      <c r="B14" s="49"/>
      <c r="C14" s="49"/>
    </row>
    <row r="15" spans="1:3" ht="20.25" customHeight="1" x14ac:dyDescent="0.35">
      <c r="A15" s="44"/>
      <c r="B15" s="49"/>
      <c r="C15" s="49"/>
    </row>
    <row r="16" spans="1:3" ht="57" customHeight="1" x14ac:dyDescent="0.35">
      <c r="A16" s="52" t="s">
        <v>101</v>
      </c>
      <c r="B16" s="53" t="s">
        <v>104</v>
      </c>
      <c r="C16" s="49">
        <v>6</v>
      </c>
    </row>
    <row r="17" spans="1:2" ht="20.25" customHeight="1" x14ac:dyDescent="0.35">
      <c r="A17" s="22"/>
    </row>
    <row r="18" spans="1:2" ht="19.5" customHeight="1" x14ac:dyDescent="0.4">
      <c r="A18" s="21"/>
    </row>
    <row r="19" spans="1:2" x14ac:dyDescent="0.25">
      <c r="B19" s="55" t="s">
        <v>61</v>
      </c>
    </row>
    <row r="20" spans="1:2" x14ac:dyDescent="0.25">
      <c r="A20" s="25" t="s">
        <v>65</v>
      </c>
      <c r="B20" s="26" t="s">
        <v>70</v>
      </c>
    </row>
    <row r="21" spans="1:2" ht="108.75" customHeight="1" x14ac:dyDescent="0.25">
      <c r="A21" s="25"/>
      <c r="B21" s="34" t="s">
        <v>93</v>
      </c>
    </row>
    <row r="22" spans="1:2" x14ac:dyDescent="0.25">
      <c r="A22" s="25"/>
    </row>
    <row r="23" spans="1:2" x14ac:dyDescent="0.25">
      <c r="A23" s="25" t="s">
        <v>66</v>
      </c>
      <c r="B23" s="26" t="s">
        <v>68</v>
      </c>
    </row>
    <row r="24" spans="1:2" ht="255" x14ac:dyDescent="0.25">
      <c r="A24" s="25"/>
      <c r="B24" s="33" t="s">
        <v>94</v>
      </c>
    </row>
    <row r="25" spans="1:2" x14ac:dyDescent="0.25">
      <c r="A25" s="25"/>
    </row>
    <row r="26" spans="1:2" x14ac:dyDescent="0.25">
      <c r="A26" s="25" t="s">
        <v>67</v>
      </c>
      <c r="B26" t="s">
        <v>69</v>
      </c>
    </row>
    <row r="27" spans="1:2" ht="409.5" x14ac:dyDescent="0.25">
      <c r="A27" s="25"/>
      <c r="B27" s="35" t="s">
        <v>95</v>
      </c>
    </row>
    <row r="29" spans="1:2" x14ac:dyDescent="0.25">
      <c r="A29" t="s">
        <v>87</v>
      </c>
      <c r="B29" t="s">
        <v>86</v>
      </c>
    </row>
    <row r="30" spans="1:2" ht="300" x14ac:dyDescent="0.25">
      <c r="B30" s="34" t="s">
        <v>92</v>
      </c>
    </row>
    <row r="32" spans="1:2" x14ac:dyDescent="0.25">
      <c r="A32" s="25"/>
    </row>
    <row r="33" spans="2:2" x14ac:dyDescent="0.25">
      <c r="B33"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D0AF-BA50-439E-B2D5-AB1F4C779528}">
  <dimension ref="A1:K38"/>
  <sheetViews>
    <sheetView tabSelected="1" topLeftCell="A11" zoomScale="77" zoomScaleNormal="77" workbookViewId="0">
      <selection activeCell="I30" sqref="I30"/>
    </sheetView>
  </sheetViews>
  <sheetFormatPr defaultRowHeight="15" x14ac:dyDescent="0.25"/>
  <cols>
    <col min="1" max="1" width="25.5703125" customWidth="1"/>
    <col min="2" max="2" width="23.42578125" customWidth="1"/>
    <col min="3" max="3" width="34.85546875" customWidth="1"/>
    <col min="4" max="4" width="30.140625" customWidth="1"/>
    <col min="5" max="5" width="11.85546875" customWidth="1"/>
    <col min="8" max="8" width="7.28515625" customWidth="1"/>
    <col min="9" max="9" width="13.7109375" customWidth="1"/>
    <col min="11" max="11" width="17.140625" customWidth="1"/>
  </cols>
  <sheetData>
    <row r="1" spans="1:11" ht="27" x14ac:dyDescent="0.45">
      <c r="A1" s="24" t="s">
        <v>62</v>
      </c>
    </row>
    <row r="2" spans="1:11" ht="26.25" x14ac:dyDescent="0.4">
      <c r="A2" s="23" t="s">
        <v>63</v>
      </c>
      <c r="C2" s="58"/>
      <c r="E2" s="63" t="s">
        <v>64</v>
      </c>
    </row>
    <row r="3" spans="1:11" ht="18.75" x14ac:dyDescent="0.3">
      <c r="A3" s="59" t="s">
        <v>118</v>
      </c>
      <c r="I3" s="68"/>
      <c r="J3" s="68"/>
      <c r="K3" s="68"/>
    </row>
    <row r="4" spans="1:11" x14ac:dyDescent="0.25">
      <c r="A4" s="60"/>
      <c r="I4" s="57"/>
      <c r="J4" s="57"/>
      <c r="K4" s="57"/>
    </row>
    <row r="5" spans="1:11" ht="27" x14ac:dyDescent="0.35">
      <c r="A5" s="66" t="s">
        <v>115</v>
      </c>
      <c r="B5" s="66"/>
      <c r="C5" s="66"/>
      <c r="D5" s="66"/>
      <c r="I5" s="68" t="s">
        <v>83</v>
      </c>
      <c r="J5" s="68"/>
      <c r="K5" s="68"/>
    </row>
    <row r="6" spans="1:11" x14ac:dyDescent="0.25">
      <c r="A6" s="70" t="s">
        <v>116</v>
      </c>
      <c r="B6" s="70"/>
      <c r="C6" s="70"/>
      <c r="D6" s="28"/>
      <c r="I6" s="57"/>
      <c r="J6" s="57"/>
      <c r="K6" s="57"/>
    </row>
    <row r="7" spans="1:11" x14ac:dyDescent="0.25">
      <c r="A7" s="30" t="s">
        <v>71</v>
      </c>
      <c r="B7" s="36" t="s">
        <v>72</v>
      </c>
      <c r="C7" s="31" t="s">
        <v>73</v>
      </c>
      <c r="D7" s="61" t="s">
        <v>74</v>
      </c>
    </row>
    <row r="8" spans="1:11" x14ac:dyDescent="0.25">
      <c r="A8" t="s">
        <v>75</v>
      </c>
      <c r="B8" s="37">
        <v>8435220</v>
      </c>
      <c r="C8" s="29">
        <v>1309620</v>
      </c>
      <c r="D8" s="32">
        <v>83</v>
      </c>
    </row>
    <row r="9" spans="1:11" x14ac:dyDescent="0.25">
      <c r="A9" t="s">
        <v>76</v>
      </c>
      <c r="B9" s="37">
        <v>8019400</v>
      </c>
      <c r="C9" s="29">
        <v>3082400</v>
      </c>
      <c r="D9" s="32">
        <v>73</v>
      </c>
    </row>
    <row r="10" spans="1:11" x14ac:dyDescent="0.25">
      <c r="A10" t="s">
        <v>77</v>
      </c>
      <c r="B10" s="37">
        <v>6400325</v>
      </c>
      <c r="C10" s="29">
        <v>2281425</v>
      </c>
      <c r="D10" s="32">
        <v>103</v>
      </c>
    </row>
    <row r="11" spans="1:11" ht="18" x14ac:dyDescent="0.25">
      <c r="A11" t="s">
        <v>78</v>
      </c>
      <c r="B11" s="37">
        <v>4041600</v>
      </c>
      <c r="C11" s="29">
        <v>1463100</v>
      </c>
      <c r="D11" s="32">
        <v>62</v>
      </c>
      <c r="E11" s="62" t="s">
        <v>113</v>
      </c>
    </row>
    <row r="12" spans="1:11" x14ac:dyDescent="0.25">
      <c r="A12" t="s">
        <v>79</v>
      </c>
      <c r="B12" s="37">
        <v>3916000</v>
      </c>
      <c r="C12" s="29">
        <v>1351300</v>
      </c>
      <c r="D12" s="32">
        <v>57</v>
      </c>
    </row>
    <row r="13" spans="1:11" x14ac:dyDescent="0.25">
      <c r="A13" t="s">
        <v>80</v>
      </c>
      <c r="B13" s="37">
        <v>682380</v>
      </c>
      <c r="C13" s="29">
        <v>288480</v>
      </c>
      <c r="D13" s="32">
        <v>28</v>
      </c>
    </row>
    <row r="14" spans="1:11" x14ac:dyDescent="0.25">
      <c r="B14" s="37"/>
      <c r="C14" s="29"/>
      <c r="D14" s="32"/>
    </row>
    <row r="15" spans="1:11" x14ac:dyDescent="0.25">
      <c r="A15" t="s">
        <v>81</v>
      </c>
      <c r="B15" s="37">
        <f>SUM(B8:B14)</f>
        <v>31494925</v>
      </c>
      <c r="C15" s="29">
        <f>SUM(C8:C14)</f>
        <v>9776325</v>
      </c>
      <c r="D15" s="32">
        <f>SUM(D8:D14)</f>
        <v>406</v>
      </c>
    </row>
    <row r="18" spans="1:4" x14ac:dyDescent="0.25">
      <c r="A18" s="69"/>
      <c r="B18" s="69"/>
      <c r="C18" s="58"/>
      <c r="D18" s="58"/>
    </row>
    <row r="19" spans="1:4" ht="15.75" x14ac:dyDescent="0.25">
      <c r="A19" s="64" t="s">
        <v>114</v>
      </c>
    </row>
    <row r="20" spans="1:4" x14ac:dyDescent="0.25">
      <c r="A20" s="30" t="s">
        <v>71</v>
      </c>
      <c r="B20" s="38" t="s">
        <v>85</v>
      </c>
      <c r="C20" s="31" t="s">
        <v>84</v>
      </c>
      <c r="D20" s="39" t="s">
        <v>109</v>
      </c>
    </row>
    <row r="21" spans="1:4" x14ac:dyDescent="0.25">
      <c r="A21" t="s">
        <v>80</v>
      </c>
      <c r="B21" s="37">
        <v>682380</v>
      </c>
      <c r="C21" s="29">
        <v>288480</v>
      </c>
      <c r="D21" s="42">
        <v>0.42299999999999999</v>
      </c>
    </row>
    <row r="22" spans="1:4" x14ac:dyDescent="0.25">
      <c r="A22" t="s">
        <v>76</v>
      </c>
      <c r="B22" s="37">
        <v>8019400</v>
      </c>
      <c r="C22" s="29">
        <v>3082400</v>
      </c>
      <c r="D22" s="42">
        <v>0.38400000000000001</v>
      </c>
    </row>
    <row r="23" spans="1:4" x14ac:dyDescent="0.25">
      <c r="A23" t="s">
        <v>78</v>
      </c>
      <c r="B23" s="37">
        <v>4041600</v>
      </c>
      <c r="C23" s="29">
        <v>1463100</v>
      </c>
      <c r="D23" s="42">
        <v>0.36199999999999999</v>
      </c>
    </row>
    <row r="24" spans="1:4" x14ac:dyDescent="0.25">
      <c r="A24" t="s">
        <v>82</v>
      </c>
      <c r="B24" s="37">
        <v>6400325</v>
      </c>
      <c r="C24" s="29">
        <v>2281425</v>
      </c>
      <c r="D24" s="42">
        <v>0.35599999999999998</v>
      </c>
    </row>
    <row r="25" spans="1:4" x14ac:dyDescent="0.25">
      <c r="A25" t="s">
        <v>79</v>
      </c>
      <c r="B25" s="37">
        <v>3916000</v>
      </c>
      <c r="C25" s="29">
        <v>1351300</v>
      </c>
      <c r="D25" s="42">
        <v>0.34499999999999997</v>
      </c>
    </row>
    <row r="26" spans="1:4" x14ac:dyDescent="0.25">
      <c r="A26" t="s">
        <v>75</v>
      </c>
      <c r="B26" s="37">
        <v>8435220</v>
      </c>
      <c r="C26" s="29">
        <v>1309620</v>
      </c>
      <c r="D26" s="42">
        <v>0.155</v>
      </c>
    </row>
    <row r="29" spans="1:4" ht="15.75" x14ac:dyDescent="0.25">
      <c r="A29" s="67" t="s">
        <v>117</v>
      </c>
      <c r="B29" s="67"/>
      <c r="C29" s="67"/>
      <c r="D29" s="67"/>
    </row>
    <row r="30" spans="1:4" x14ac:dyDescent="0.25">
      <c r="A30" s="30" t="s">
        <v>88</v>
      </c>
      <c r="B30" s="40" t="s">
        <v>89</v>
      </c>
      <c r="C30" s="40" t="s">
        <v>90</v>
      </c>
      <c r="D30" s="40" t="s">
        <v>91</v>
      </c>
    </row>
    <row r="31" spans="1:4" x14ac:dyDescent="0.25">
      <c r="A31" t="s">
        <v>80</v>
      </c>
      <c r="B31" s="25">
        <v>6</v>
      </c>
      <c r="C31" s="25">
        <v>6</v>
      </c>
      <c r="D31" s="25">
        <v>1</v>
      </c>
    </row>
    <row r="32" spans="1:4" x14ac:dyDescent="0.25">
      <c r="A32" t="s">
        <v>76</v>
      </c>
      <c r="B32" s="25">
        <v>2</v>
      </c>
      <c r="C32" s="25">
        <v>1</v>
      </c>
      <c r="D32" s="25">
        <v>2</v>
      </c>
    </row>
    <row r="33" spans="1:4" x14ac:dyDescent="0.25">
      <c r="A33" t="s">
        <v>78</v>
      </c>
      <c r="B33" s="25">
        <v>4</v>
      </c>
      <c r="C33" s="25">
        <v>3</v>
      </c>
      <c r="D33" s="25">
        <v>3</v>
      </c>
    </row>
    <row r="34" spans="1:4" x14ac:dyDescent="0.25">
      <c r="A34" t="s">
        <v>82</v>
      </c>
      <c r="B34" s="25">
        <v>3</v>
      </c>
      <c r="C34" s="25">
        <v>2</v>
      </c>
      <c r="D34" s="25">
        <v>4</v>
      </c>
    </row>
    <row r="35" spans="1:4" x14ac:dyDescent="0.25">
      <c r="A35" t="s">
        <v>79</v>
      </c>
      <c r="B35" s="25">
        <v>5</v>
      </c>
      <c r="C35" s="25">
        <v>4</v>
      </c>
      <c r="D35" s="25">
        <v>5</v>
      </c>
    </row>
    <row r="36" spans="1:4" x14ac:dyDescent="0.25">
      <c r="A36" t="s">
        <v>75</v>
      </c>
      <c r="B36" s="25">
        <v>1</v>
      </c>
      <c r="C36" s="25">
        <v>5</v>
      </c>
      <c r="D36" s="25">
        <v>6</v>
      </c>
    </row>
    <row r="38" spans="1:4" ht="44.25" customHeight="1" x14ac:dyDescent="0.25">
      <c r="A38" s="41" t="s">
        <v>112</v>
      </c>
    </row>
  </sheetData>
  <mergeCells count="6">
    <mergeCell ref="A5:D5"/>
    <mergeCell ref="A29:D29"/>
    <mergeCell ref="I3:K3"/>
    <mergeCell ref="A18:B18"/>
    <mergeCell ref="I5:K5"/>
    <mergeCell ref="A6:C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29"/>
  <sheetViews>
    <sheetView zoomScale="114" zoomScaleNormal="154" workbookViewId="0">
      <selection activeCell="F3" sqref="F3"/>
    </sheetView>
  </sheetViews>
  <sheetFormatPr defaultColWidth="8.7109375" defaultRowHeight="15" x14ac:dyDescent="0.25"/>
  <cols>
    <col min="1" max="1" width="42.7109375" customWidth="1"/>
    <col min="2" max="2" width="84" customWidth="1"/>
  </cols>
  <sheetData>
    <row r="1" spans="1:2" x14ac:dyDescent="0.25">
      <c r="A1" s="12" t="s">
        <v>25</v>
      </c>
    </row>
    <row r="2" spans="1:2" ht="19.5" x14ac:dyDescent="0.3">
      <c r="A2" s="2" t="s">
        <v>49</v>
      </c>
    </row>
    <row r="3" spans="1:2" x14ac:dyDescent="0.25">
      <c r="A3" s="13" t="s">
        <v>50</v>
      </c>
    </row>
    <row r="5" spans="1:2" x14ac:dyDescent="0.25">
      <c r="A5" s="17" t="s">
        <v>60</v>
      </c>
      <c r="B5" s="16"/>
    </row>
    <row r="7" spans="1:2" x14ac:dyDescent="0.25">
      <c r="A7" s="1" t="s">
        <v>51</v>
      </c>
      <c r="B7" s="18" t="s">
        <v>52</v>
      </c>
    </row>
    <row r="8" spans="1:2" ht="21" customHeight="1" x14ac:dyDescent="0.25">
      <c r="A8" s="19"/>
      <c r="B8" s="19" t="s">
        <v>105</v>
      </c>
    </row>
    <row r="9" spans="1:2" ht="30" customHeight="1" x14ac:dyDescent="0.25">
      <c r="A9" s="19"/>
      <c r="B9" s="56" t="s">
        <v>110</v>
      </c>
    </row>
    <row r="10" spans="1:2" ht="21.75" customHeight="1" x14ac:dyDescent="0.25">
      <c r="A10" s="19"/>
      <c r="B10" s="19" t="s">
        <v>106</v>
      </c>
    </row>
    <row r="12" spans="1:2" x14ac:dyDescent="0.25">
      <c r="A12" s="1" t="s">
        <v>53</v>
      </c>
      <c r="B12" s="18" t="s">
        <v>54</v>
      </c>
    </row>
    <row r="13" spans="1:2" ht="30" customHeight="1" x14ac:dyDescent="0.25">
      <c r="A13" s="19"/>
      <c r="B13" s="56" t="s">
        <v>107</v>
      </c>
    </row>
    <row r="14" spans="1:2" ht="21.75" customHeight="1" x14ac:dyDescent="0.25">
      <c r="A14" s="19"/>
      <c r="B14" s="19"/>
    </row>
    <row r="16" spans="1:2" x14ac:dyDescent="0.25">
      <c r="A16" s="1" t="s">
        <v>55</v>
      </c>
      <c r="B16" s="18" t="s">
        <v>56</v>
      </c>
    </row>
    <row r="17" spans="1:2" ht="126.75" customHeight="1" x14ac:dyDescent="0.25">
      <c r="A17" s="19"/>
      <c r="B17" s="56" t="s">
        <v>111</v>
      </c>
    </row>
    <row r="18" spans="1:2" ht="30" customHeight="1" x14ac:dyDescent="0.25">
      <c r="A18" s="19"/>
      <c r="B18" s="19"/>
    </row>
    <row r="20" spans="1:2" x14ac:dyDescent="0.25">
      <c r="A20" s="1" t="s">
        <v>57</v>
      </c>
      <c r="B20" s="18" t="s">
        <v>58</v>
      </c>
    </row>
    <row r="21" spans="1:2" ht="30" customHeight="1" x14ac:dyDescent="0.25">
      <c r="A21" s="19"/>
      <c r="B21" s="56" t="s">
        <v>108</v>
      </c>
    </row>
    <row r="22" spans="1:2" ht="23.25" customHeight="1" x14ac:dyDescent="0.25">
      <c r="A22" s="19"/>
      <c r="B22" s="19"/>
    </row>
    <row r="24" spans="1:2" x14ac:dyDescent="0.25">
      <c r="A24" s="20" t="s">
        <v>59</v>
      </c>
    </row>
    <row r="29" spans="1:2" x14ac:dyDescent="0.25">
      <c r="B29" s="33"/>
    </row>
  </sheetData>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Project Brief</vt:lpstr>
      <vt:lpstr>2. Build Checklist</vt:lpstr>
      <vt:lpstr>THE QUERY FILE</vt:lpstr>
      <vt:lpstr>THE RESULT(FINDINGS)</vt:lpstr>
      <vt:lpstr>Management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Royal Shoppers</cp:lastModifiedBy>
  <cp:revision>0</cp:revision>
  <dcterms:created xsi:type="dcterms:W3CDTF">2026-09-08T15:07:33Z</dcterms:created>
  <dcterms:modified xsi:type="dcterms:W3CDTF">2026-10-08T14:17:36Z</dcterms:modified>
  <dc:language>en-US</dc:language>
</cp:coreProperties>
</file>